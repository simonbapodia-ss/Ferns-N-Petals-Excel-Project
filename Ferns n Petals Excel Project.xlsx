
<file path=[Content_Types].xml><?xml version="1.0" encoding="utf-8"?>
<Types xmlns="http://schemas.openxmlformats.org/package/2006/content-type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D:\Owner\Documents\"/>
    </mc:Choice>
  </mc:AlternateContent>
  <xr:revisionPtr revIDLastSave="0" documentId="8_{2F4E1248-68BF-446F-B057-7B5F5E82569D}" xr6:coauthVersionLast="47" xr6:coauthVersionMax="47" xr10:uidLastSave="{00000000-0000-0000-0000-000000000000}"/>
  <bookViews>
    <workbookView xWindow="-110" yWindow="-110" windowWidth="19420" windowHeight="11020" firstSheet="2" activeTab="5" xr2:uid="{7EC19E98-DBF7-4261-ADC6-58EB0A9880ED}"/>
  </bookViews>
  <sheets>
    <sheet name="fnp dataset" sheetId="2" state="hidden" r:id="rId1"/>
    <sheet name="Customers" sheetId="3" r:id="rId2"/>
    <sheet name="Orders" sheetId="4" r:id="rId3"/>
    <sheet name="Products" sheetId="5" r:id="rId4"/>
    <sheet name="Sheet" sheetId="6" r:id="rId5"/>
    <sheet name="Dashboard" sheetId="9" r:id="rId6"/>
  </sheets>
  <definedNames>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224" r:id="rId7"/>
    <pivotCache cacheId="298" r:id="rId8"/>
    <pivotCache cacheId="301" r:id="rId9"/>
    <pivotCache cacheId="304" r:id="rId10"/>
    <pivotCache cacheId="307" r:id="rId11"/>
    <pivotCache cacheId="310" r:id="rId12"/>
    <pivotCache cacheId="313" r:id="rId13"/>
    <pivotCache cacheId="316" r:id="rId14"/>
    <pivotCache cacheId="319"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4"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5c6dd189-c2b3-4f4b-8327-ae5ad03839ff" name="fnp dataset" connection="Query - fnp dataset"/>
          <x15:modelTable id="Customers_00908c49-fee7-45e7-b650-d0130b9f7087" name="Customers" connection="Query - Customers"/>
          <x15:modelTable id="Orders_9e8495d8-c0fc-4820-8df8-60f46e6df379" name="Orders" connection="Query - Orders"/>
          <x15:modelTable id="Products_071ea664-4e5c-437d-93d0-bbf94dae470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F1BF80-376E-40BF-B402-031861258BC5}" keepAlive="1" name="ModelConnection_ExternalData_1" description="Data Model" type="5" refreshedVersion="7" minRefreshableVersion="5" saveData="1">
    <dbPr connection="Data Model Connection" command="fnp dataset" commandType="3"/>
    <extLst>
      <ext xmlns:x15="http://schemas.microsoft.com/office/spreadsheetml/2010/11/main" uri="{DE250136-89BD-433C-8126-D09CA5730AF9}">
        <x15:connection id="" model="1"/>
      </ext>
    </extLst>
  </connection>
  <connection id="2" xr16:uid="{C762F46C-AE4C-4723-BC18-29762DD64B5C}"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B14E09C0-933B-4F29-8473-434AF6B0B424}"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B0D3B8F3-E801-4AE4-B53C-941D28E9C9F6}"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5FFA9988-F257-4518-92AB-3424F73A292C}" name="Query - Customers" description="Connection to the 'Customers' query in the workbook." type="100" refreshedVersion="7" minRefreshableVersion="5">
    <extLst>
      <ext xmlns:x15="http://schemas.microsoft.com/office/spreadsheetml/2010/11/main" uri="{DE250136-89BD-433C-8126-D09CA5730AF9}">
        <x15:connection id="4a2cebcd-c393-48ad-8718-6d75c7f70417"/>
      </ext>
    </extLst>
  </connection>
  <connection id="6" xr16:uid="{16E64244-EFC7-4940-A639-A54B1B5BE9C9}" name="Query - fnp dataset" description="Connection to the 'fnp dataset' query in the workbook." type="100" refreshedVersion="7" minRefreshableVersion="5">
    <extLst>
      <ext xmlns:x15="http://schemas.microsoft.com/office/spreadsheetml/2010/11/main" uri="{DE250136-89BD-433C-8126-D09CA5730AF9}">
        <x15:connection id="e2df0747-5d99-486f-85d2-b08da56f51c8"/>
      </ext>
    </extLst>
  </connection>
  <connection id="7" xr16:uid="{B118B7F5-A1A2-4D90-862F-3C55147BAEAE}" name="Query - Orders" description="Connection to the 'Orders' query in the workbook." type="100" refreshedVersion="7" minRefreshableVersion="5">
    <extLst>
      <ext xmlns:x15="http://schemas.microsoft.com/office/spreadsheetml/2010/11/main" uri="{DE250136-89BD-433C-8126-D09CA5730AF9}">
        <x15:connection id="234ecca4-e51f-4140-95f9-72b6581008b3"/>
      </ext>
    </extLst>
  </connection>
  <connection id="8" xr16:uid="{4D5702DD-F71D-4AEC-AB11-C3DDAA8041C5}" name="Query - Products" description="Connection to the 'Products' query in the workbook." type="100" refreshedVersion="7" minRefreshableVersion="5">
    <extLst>
      <ext xmlns:x15="http://schemas.microsoft.com/office/spreadsheetml/2010/11/main" uri="{DE250136-89BD-433C-8126-D09CA5730AF9}">
        <x15:connection id="ca045431-c36f-4a34-afbf-ab6b0375d5a8"/>
      </ext>
    </extLst>
  </connection>
  <connection id="9" xr16:uid="{8736C2BF-391F-478D-9542-19DD19A1BDE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<sst xmlns="http://schemas.openxmlformats.org/spreadsheetml/2006/main" count="6088" uniqueCount="1018">
  <si>
    <t>Name</t>
  </si>
  <si>
    <t>Extension</t>
  </si>
  <si>
    <t>Date accessed</t>
  </si>
  <si>
    <t>Date modified</t>
  </si>
  <si>
    <t>Date created</t>
  </si>
  <si>
    <t>Folder Path</t>
  </si>
  <si>
    <t>customers.csv</t>
  </si>
  <si>
    <t>.csv</t>
  </si>
  <si>
    <t>D:\Owner\Downloads\fnp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</si>
  <si>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</si>
  <si>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</si>
  <si>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</si>
  <si>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</si>
  <si>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</si>
  <si>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</si>
  <si>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</si>
  <si>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</si>
  <si>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</si>
  <si>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</si>
  <si>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</si>
  <si>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</si>
  <si>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</si>
  <si>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</si>
  <si>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</si>
  <si>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</si>
  <si>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</si>
  <si>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</si>
  <si>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</si>
  <si>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</si>
  <si>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</si>
  <si>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</si>
  <si>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</si>
  <si>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</si>
  <si>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</si>
  <si>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</si>
  <si>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</si>
  <si>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</si>
  <si>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</si>
  <si>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</si>
  <si>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</si>
  <si>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</si>
  <si>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</si>
  <si>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</si>
  <si>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</si>
  <si>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</si>
  <si>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</si>
  <si>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</si>
  <si>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</si>
  <si>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</si>
  <si>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</si>
  <si>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</si>
  <si>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</si>
  <si>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</si>
  <si>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</si>
  <si>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</si>
  <si>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</si>
  <si>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</si>
  <si>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</si>
  <si>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</si>
  <si>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</si>
  <si>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</si>
  <si>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</si>
  <si>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</si>
  <si>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</si>
  <si>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</si>
  <si>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</si>
  <si>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</si>
  <si>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</si>
  <si>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</si>
  <si>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</si>
  <si>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</si>
  <si>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</si>
  <si>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</si>
  <si>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</si>
  <si>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</si>
  <si>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</si>
  <si>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</si>
  <si>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</si>
  <si>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</si>
  <si>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</si>
  <si>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</si>
  <si>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</si>
  <si>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</si>
  <si>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</si>
  <si>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</si>
  <si>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</si>
  <si>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</si>
  <si>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</si>
  <si>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</si>
  <si>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</si>
  <si>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</si>
  <si>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</si>
  <si>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</si>
  <si>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</si>
  <si>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</si>
  <si>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</si>
  <si>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</si>
  <si>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</si>
  <si>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</si>
  <si>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</si>
  <si>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</si>
  <si>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</si>
  <si>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</si>
  <si>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</si>
  <si>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</si>
  <si>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</si>
  <si>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</si>
  <si>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</si>
  <si>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</si>
  <si>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</si>
  <si>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</si>
  <si>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</si>
  <si>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</si>
  <si>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</si>
  <si>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</si>
  <si>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</si>
  <si>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</si>
  <si>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</si>
  <si>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</si>
  <si>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</si>
  <si>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</si>
  <si>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</si>
  <si>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</si>
  <si>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</si>
  <si>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</si>
  <si>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</si>
  <si>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</si>
  <si>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</si>
  <si>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</si>
  <si>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</si>
  <si>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</si>
  <si>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</si>
  <si>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</si>
  <si>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</si>
  <si>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</si>
  <si>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</si>
  <si>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</si>
  <si>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</si>
  <si>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</si>
  <si>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</si>
  <si>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</si>
  <si>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</si>
  <si>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</si>
  <si>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</si>
  <si>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</si>
  <si>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</si>
  <si>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</si>
  <si>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</si>
  <si>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</si>
  <si>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</si>
  <si>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</si>
  <si>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</si>
  <si>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</si>
  <si>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</si>
  <si>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</si>
  <si>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</si>
  <si>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</si>
  <si>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</si>
  <si>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</si>
  <si>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</si>
  <si>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</si>
  <si>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</si>
  <si>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</si>
  <si>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</si>
  <si>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</si>
  <si>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</si>
  <si>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</si>
  <si>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</si>
  <si>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</si>
  <si>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</si>
  <si>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</si>
  <si>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</si>
  <si>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</si>
  <si>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</si>
  <si>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</si>
  <si>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</si>
  <si>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</si>
  <si>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</si>
  <si>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</si>
  <si>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</si>
  <si>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</si>
  <si>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</si>
  <si>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</si>
  <si>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</si>
  <si>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</si>
  <si>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</si>
  <si>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</si>
  <si>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</si>
  <si>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</si>
  <si>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</si>
  <si>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</si>
  <si>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</si>
  <si>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</si>
  <si>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</si>
  <si>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</si>
  <si>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</si>
  <si>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</si>
  <si>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</si>
  <si>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</si>
  <si>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</si>
  <si>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</si>
  <si>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</si>
  <si>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</si>
  <si>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</si>
  <si>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</si>
  <si>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</si>
  <si>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</si>
  <si>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</si>
  <si>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</si>
  <si>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</si>
  <si>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</si>
  <si>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</si>
  <si>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</si>
  <si>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</si>
  <si>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</si>
  <si>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</si>
  <si>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</si>
  <si>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</si>
  <si>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</si>
  <si>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</si>
  <si>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</si>
  <si>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</si>
  <si>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</si>
  <si>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</si>
  <si>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</si>
  <si>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</si>
  <si>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</si>
  <si>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</si>
  <si>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</si>
  <si>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</si>
  <si>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</si>
  <si>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</si>
  <si>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</si>
  <si>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</si>
  <si>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</si>
  <si>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</si>
  <si>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</si>
  <si>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</si>
  <si>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</si>
  <si>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</si>
  <si>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</si>
  <si>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</si>
  <si>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</si>
  <si>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</si>
  <si>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</si>
  <si>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</si>
  <si>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</si>
  <si>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</si>
  <si>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</si>
  <si>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</si>
  <si>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</si>
  <si>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</si>
  <si>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</si>
  <si>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</si>
  <si>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</si>
  <si>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</si>
  <si>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</si>
  <si>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</si>
  <si>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</si>
  <si>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</si>
  <si>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</si>
  <si>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</si>
  <si>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</si>
  <si>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</si>
  <si>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</si>
  <si>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</si>
  <si>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</si>
  <si>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</si>
  <si>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</si>
  <si>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</si>
  <si>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</si>
  <si>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</si>
  <si>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</si>
  <si>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</si>
  <si>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</si>
  <si>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</si>
  <si>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</si>
  <si>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</si>
  <si>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</si>
  <si>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</si>
  <si>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</si>
  <si>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</si>
  <si>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</si>
  <si>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</si>
  <si>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</si>
  <si>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</si>
  <si>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</si>
  <si>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</si>
  <si>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</si>
  <si>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</si>
  <si>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</si>
  <si>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</si>
  <si>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</si>
  <si>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</si>
  <si>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</si>
  <si>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</si>
  <si>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</si>
  <si>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</si>
  <si>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</si>
  <si>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</si>
  <si>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</si>
  <si>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</si>
  <si>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</si>
  <si>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</si>
  <si>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</si>
  <si>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</si>
  <si>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</si>
  <si>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</si>
  <si>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</si>
  <si>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</si>
  <si>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</si>
  <si>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</si>
  <si>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</si>
  <si>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</si>
  <si>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</si>
  <si>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</si>
  <si>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</si>
  <si>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</si>
  <si>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</si>
  <si>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</si>
  <si>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</si>
  <si>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</si>
  <si>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</si>
  <si>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</si>
  <si>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</si>
  <si>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</si>
  <si>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</si>
  <si>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</si>
  <si>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</si>
  <si>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</si>
  <si>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</si>
  <si>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</si>
  <si>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</si>
  <si>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</si>
  <si>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</si>
  <si>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</si>
  <si>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</si>
  <si>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</si>
  <si>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</si>
  <si>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</si>
  <si>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</si>
  <si>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</si>
  <si>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</si>
  <si>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</si>
  <si>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</si>
  <si>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</si>
  <si>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</si>
  <si>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</si>
  <si>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</si>
  <si>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</si>
  <si>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</si>
  <si>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</si>
  <si>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</si>
  <si>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</si>
  <si>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</si>
  <si>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</si>
  <si>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</si>
  <si>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</si>
  <si>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</si>
  <si>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</si>
  <si>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</si>
  <si>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</si>
  <si>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</si>
  <si>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</si>
  <si>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</si>
  <si>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</si>
  <si>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</si>
  <si>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</si>
  <si>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</si>
  <si>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</si>
  <si>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</si>
  <si>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</si>
  <si>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</si>
  <si>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</si>
  <si>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</si>
  <si>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</si>
  <si>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</si>
  <si>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</si>
  <si>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</si>
  <si>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</si>
  <si>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</si>
  <si>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</si>
  <si>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</si>
  <si>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</si>
  <si>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</si>
  <si>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</si>
  <si>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</si>
  <si>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</si>
  <si>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</si>
  <si>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</si>
  <si>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</si>
  <si>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</si>
  <si>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</si>
  <si>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</si>
  <si>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</si>
  <si>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</si>
  <si>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</si>
  <si>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</si>
  <si>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</si>
  <si>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</si>
  <si>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</si>
  <si>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</si>
  <si>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</si>
  <si>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</si>
  <si>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</si>
  <si>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</si>
  <si>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</si>
  <si>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</si>
  <si>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</si>
  <si>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</si>
  <si>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</si>
  <si>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</si>
  <si>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</si>
  <si>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</si>
  <si>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</si>
  <si>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</si>
  <si>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</si>
  <si>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</si>
  <si>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</si>
  <si>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</si>
  <si>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</si>
  <si>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</si>
  <si>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</si>
  <si>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</si>
  <si>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</si>
  <si>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</si>
  <si>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</si>
  <si>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</si>
  <si>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</si>
  <si>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</si>
  <si>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</si>
  <si>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</si>
  <si>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</si>
  <si>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</si>
  <si>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</si>
  <si>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</si>
  <si>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</si>
  <si>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</si>
  <si>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</si>
  <si>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</si>
  <si>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</si>
  <si>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</si>
  <si>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</si>
  <si>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</si>
  <si>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</si>
  <si>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</si>
  <si>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</si>
  <si>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</si>
  <si>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</si>
  <si>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</si>
  <si>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</si>
  <si>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</si>
  <si>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</si>
  <si>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</si>
  <si>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</si>
  <si>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</si>
  <si>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</si>
  <si>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</si>
  <si>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</si>
  <si>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</si>
  <si>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</si>
  <si>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</si>
  <si>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</si>
  <si>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</si>
  <si>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</si>
  <si>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</si>
  <si>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</si>
  <si>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</si>
  <si>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</si>
  <si>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</si>
  <si>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</si>
  <si>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</si>
  <si>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</si>
  <si>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</si>
  <si>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</si>
  <si>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</si>
  <si>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</si>
  <si>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</si>
  <si>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</si>
  <si>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</si>
  <si>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</si>
  <si>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</si>
  <si>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</si>
  <si>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</si>
  <si>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</si>
  <si>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</si>
  <si>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</si>
  <si>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</si>
  <si>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</si>
  <si>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</si>
  <si>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</si>
  <si>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</si>
  <si>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</si>
  <si>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</si>
  <si>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</si>
  <si>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</si>
  <si>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</si>
  <si>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</si>
  <si>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</si>
  <si>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</si>
  <si>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</si>
  <si>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</si>
  <si>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</si>
  <si>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</si>
  <si>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</si>
  <si>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</si>
  <si>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</si>
  <si>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</si>
  <si>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</si>
  <si>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</si>
  <si>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</si>
  <si>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</si>
  <si>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</si>
  <si>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</si>
  <si>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</si>
  <si>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</si>
  <si>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</si>
  <si>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</si>
  <si>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</si>
  <si>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</si>
  <si>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</si>
  <si>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</si>
  <si>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</si>
  <si>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</si>
  <si>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</si>
  <si>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</si>
  <si>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</si>
  <si>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</si>
  <si>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</si>
  <si>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</si>
  <si>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</si>
  <si>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</si>
  <si>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</si>
  <si>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</si>
  <si>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</si>
  <si>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</si>
  <si>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</si>
  <si>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</si>
  <si>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</si>
  <si>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</si>
  <si>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</si>
  <si>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</si>
  <si>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</si>
  <si>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</si>
  <si>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</si>
  <si>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</si>
  <si>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</si>
  <si>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</si>
  <si>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</si>
  <si>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</si>
  <si>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</si>
  <si>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</si>
  <si>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</si>
  <si>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</si>
  <si>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</si>
  <si>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</si>
  <si>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</si>
  <si>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</si>
  <si>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</si>
  <si>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</si>
  <si>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</si>
  <si>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</si>
  <si>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</si>
  <si>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</si>
  <si>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</si>
  <si>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</si>
  <si>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</si>
  <si>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</si>
  <si>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</si>
  <si>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</si>
  <si>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</si>
  <si>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</si>
  <si>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</si>
  <si>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</si>
  <si>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</si>
  <si>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</si>
  <si>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</si>
  <si>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</si>
  <si>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</si>
  <si>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</si>
  <si>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</si>
  <si>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</si>
  <si>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</si>
  <si>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</si>
  <si>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</si>
  <si>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</si>
  <si>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</si>
  <si>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</si>
  <si>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</si>
  <si>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</si>
  <si>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</si>
  <si>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</si>
  <si>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</si>
  <si>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</si>
  <si>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</si>
  <si>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</si>
  <si>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</si>
  <si>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</si>
  <si>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</si>
  <si>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</si>
  <si>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</si>
  <si>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</si>
  <si>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</si>
  <si>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</si>
  <si>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</si>
  <si>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</si>
  <si>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</si>
  <si>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</si>
  <si>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</si>
  <si>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</si>
  <si>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</si>
  <si>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</si>
  <si>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</si>
  <si>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</si>
  <si>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</si>
  <si>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</si>
  <si>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</si>
  <si>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</si>
  <si>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</si>
  <si>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</si>
  <si>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</si>
  <si>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</si>
  <si>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</si>
  <si>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</si>
  <si>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</si>
  <si>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</si>
  <si>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</si>
  <si>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</si>
  <si>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</si>
  <si>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</si>
  <si>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</si>
  <si>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</si>
  <si>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</si>
  <si>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</si>
  <si>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</si>
  <si>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</si>
  <si>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</si>
  <si>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</si>
  <si>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</si>
  <si>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</si>
  <si>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</si>
  <si>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</si>
  <si>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</si>
  <si>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</si>
  <si>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</si>
  <si>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</si>
  <si>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</si>
  <si>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</si>
  <si>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</si>
  <si>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</si>
  <si>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</si>
  <si>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</si>
  <si>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</si>
  <si>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</si>
  <si>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</si>
  <si>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</si>
  <si>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</si>
  <si>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</si>
  <si>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</si>
  <si>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</si>
  <si>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</si>
  <si>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</si>
  <si>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</si>
  <si>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</si>
  <si>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</si>
  <si>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</si>
  <si>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</si>
  <si>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</si>
  <si>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</si>
  <si>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</si>
  <si>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</si>
  <si>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</si>
  <si>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</si>
  <si>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</si>
  <si>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</si>
  <si>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</si>
  <si>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</si>
  <si>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</si>
  <si>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</si>
  <si>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</si>
  <si>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</si>
  <si>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</si>
  <si>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</si>
  <si>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</si>
  <si>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</si>
  <si>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</si>
  <si>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</si>
  <si>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</si>
  <si>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</si>
  <si>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</si>
  <si>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</si>
  <si>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</si>
  <si>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</si>
  <si>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</si>
  <si>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</si>
  <si>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</si>
  <si>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</si>
  <si>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</si>
  <si>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</si>
  <si>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</si>
  <si>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</si>
  <si>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</si>
  <si>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</si>
  <si>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</si>
  <si>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</si>
  <si>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</si>
  <si>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</si>
  <si>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</si>
  <si>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</si>
  <si>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</si>
  <si>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</si>
  <si>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</si>
  <si>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</si>
  <si>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</si>
  <si>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</si>
  <si>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</si>
  <si>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</si>
  <si>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</si>
  <si>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</si>
  <si>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</si>
  <si>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</si>
  <si>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</si>
  <si>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</si>
  <si>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</si>
  <si>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</si>
  <si>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</si>
  <si>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</si>
  <si>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</si>
  <si>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</si>
  <si>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</si>
  <si>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</si>
  <si>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</si>
  <si>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</si>
  <si>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</si>
  <si>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</si>
  <si>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</si>
  <si>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</si>
  <si>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</si>
  <si>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</si>
  <si>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</si>
  <si>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</si>
  <si>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</si>
  <si>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</si>
  <si>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</si>
  <si>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</si>
  <si>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</si>
  <si>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</si>
  <si>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</si>
  <si>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</si>
  <si>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</si>
  <si>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</si>
  <si>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</si>
  <si>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</si>
  <si>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</si>
  <si>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</si>
  <si>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</si>
  <si>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</si>
  <si>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</si>
  <si>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</si>
  <si>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</si>
  <si>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</si>
  <si>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</si>
  <si>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</si>
  <si>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</si>
  <si>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</si>
  <si>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</si>
  <si>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</si>
  <si>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</si>
  <si>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</si>
  <si>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</si>
  <si>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</si>
  <si>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</si>
  <si>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</si>
  <si>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</si>
  <si>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</si>
  <si>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</si>
  <si>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</si>
  <si>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</si>
  <si>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</si>
  <si>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</si>
  <si>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</si>
  <si>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</si>
  <si>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</si>
  <si>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</si>
  <si>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</si>
  <si>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</si>
  <si>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</si>
  <si>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</si>
  <si>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</si>
  <si>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</si>
  <si>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</si>
  <si>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</si>
  <si>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</si>
  <si>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</si>
  <si>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</si>
  <si>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</si>
  <si>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</si>
  <si>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</si>
  <si>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</si>
  <si>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</si>
  <si>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</si>
  <si>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</si>
  <si>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</si>
  <si>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</si>
  <si>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</si>
  <si>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</si>
  <si>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</si>
  <si>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</si>
  <si>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</si>
  <si>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</si>
  <si>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</si>
  <si>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</si>
  <si>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</si>
  <si>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</si>
  <si>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</si>
  <si>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</si>
  <si>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</si>
  <si>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</si>
  <si>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</si>
  <si>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</si>
  <si>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</si>
  <si>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</si>
  <si>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</si>
  <si>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</si>
  <si>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</si>
  <si>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</si>
  <si>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</si>
  <si>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</si>
  <si>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</si>
  <si>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</si>
  <si>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</si>
  <si>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</si>
  <si>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</si>
  <si>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</si>
  <si>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</si>
  <si>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</si>
  <si>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</si>
  <si>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</si>
  <si>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</si>
  <si>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</si>
  <si>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</si>
  <si>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</si>
  <si>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</si>
  <si>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</si>
  <si>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</si>
  <si>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</si>
  <si>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</si>
  <si>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</si>
  <si>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</si>
  <si>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</si>
  <si>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</si>
  <si>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</si>
  <si>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</si>
  <si>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</si>
  <si>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</si>
  <si>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</si>
  <si>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</si>
  <si>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</si>
  <si>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</si>
  <si>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</si>
  <si>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</si>
  <si>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</si>
  <si>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</si>
  <si>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</si>
  <si>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</si>
  <si>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</si>
  <si>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</si>
  <si>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</si>
  <si>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</si>
  <si>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</si>
  <si>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</si>
  <si>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</si>
  <si>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</si>
  <si>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</si>
  <si>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</si>
  <si>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</si>
  <si>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</si>
  <si>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</si>
  <si>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</si>
  <si>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</si>
  <si>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</si>
  <si>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</si>
  <si>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</si>
  <si>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</si>
  <si>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</si>
  <si>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</si>
  <si>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</si>
  <si>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</si>
  <si>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</si>
  <si>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</si>
  <si>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</si>
  <si>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</si>
  <si>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</si>
  <si>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</si>
  <si>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</si>
  <si>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</si>
  <si>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</si>
  <si>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</si>
  <si>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</si>
  <si>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</si>
  <si>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</si>
  <si>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</si>
  <si>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</si>
  <si>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</si>
  <si>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</si>
  <si>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</si>
  <si>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</si>
  <si>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</si>
  <si>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</si>
  <si>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</si>
  <si>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</si>
  <si>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</si>
  <si>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</si>
  <si>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</si>
  <si>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</si>
  <si>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</si>
  <si>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</si>
  <si>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</si>
  <si>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</si>
  <si>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</si>
  <si>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</si>
  <si>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</si>
  <si>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</si>
  <si>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</si>
  <si>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</si>
  <si>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</si>
  <si>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</si>
  <si>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</si>
  <si>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</si>
  <si>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</si>
  <si>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</si>
  <si>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</si>
  <si>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</si>
  <si>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</si>
  <si>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</si>
  <si>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</si>
  <si>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</si>
  <si>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</si>
  <si>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</si>
  <si>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</si>
  <si>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</si>
  <si>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</si>
  <si>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</si>
  <si>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</si>
  <si>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</si>
  <si>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</si>
  <si>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</si>
  <si>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</si>
  <si>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</si>
  <si>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</si>
  <si>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</si>
  <si>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</si>
  <si>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</si>
  <si>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</si>
  <si>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</si>
  <si>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</si>
  <si>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</si>
  <si>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</si>
  <si>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</si>
  <si>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</si>
  <si>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</si>
  <si>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</si>
  <si>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</si>
  <si>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</si>
  <si>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</si>
  <si>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</si>
  <si>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</si>
  <si>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</si>
  <si>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</si>
  <si>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</si>
  <si>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</si>
  <si>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</si>
  <si>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</si>
  <si>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</si>
  <si>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</si>
  <si>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</si>
  <si>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</si>
  <si>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</si>
  <si>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</si>
  <si>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</si>
  <si>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</si>
  <si>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</si>
  <si>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</si>
  <si>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</si>
  <si>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</si>
  <si>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</si>
  <si>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</si>
  <si>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</si>
  <si>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</si>
  <si>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</si>
  <si>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</si>
  <si>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</si>
  <si>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</si>
  <si>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</si>
  <si>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</si>
  <si>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</si>
  <si>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</si>
  <si>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</si>
  <si>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</si>
  <si>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</si>
  <si>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</si>
  <si>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</si>
  <si>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</si>
  <si>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</si>
  <si>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</si>
  <si>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</si>
  <si>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date)</t>
  </si>
  <si>
    <t>Saturday</t>
  </si>
  <si>
    <t>Wednesday</t>
  </si>
  <si>
    <t>Friday</t>
  </si>
  <si>
    <t>Sunday</t>
  </si>
  <si>
    <t>Monday</t>
  </si>
  <si>
    <t>Tuesday</t>
  </si>
  <si>
    <t>Thursday</t>
  </si>
  <si>
    <t>Sum of Revenue</t>
  </si>
  <si>
    <t>Average of diff_order_deliver</t>
  </si>
  <si>
    <t>Count of Order_ID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</si>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</sst>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Excel Project.xlsx]Sheet!PivotTable9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Sheet!$B$17</c:f>
              <c:strCache>
                <c:ptCount val="1"/>
                <c:pt idx="0">
                  <c:v>Total</c:v>
                </c:pt>
              </c:strCache>
            </c:strRef>
          </c:tx>
          <c:spPr>
            <a:solidFill>
              <a:schemeClr val="accent1"/>
            </a:solidFill>
            <a:ln>
              <a:noFill/>
            </a:ln>
            <a:effectLst/>
          </c:spPr>
          <c:invertIfNegative val="0"/>
          <c:cat>
            <c:strRef>
              <c:f>Sheet!$A$18:$A$25</c:f>
              <c:strCache>
                <c:ptCount val="7"/>
                <c:pt idx="0">
                  <c:v>Cake</c:v>
                </c:pt>
                <c:pt idx="1">
                  <c:v>Colors</c:v>
                </c:pt>
                <c:pt idx="2">
                  <c:v>Mugs</c:v>
                </c:pt>
                <c:pt idx="3">
                  <c:v>Plants</c:v>
                </c:pt>
                <c:pt idx="4">
                  <c:v>Raksha Bandhan</c:v>
                </c:pt>
                <c:pt idx="5">
                  <c:v>Soft Toys</c:v>
                </c:pt>
                <c:pt idx="6">
                  <c:v>Sweets</c:v>
                </c:pt>
              </c:strCache>
            </c:strRef>
          </c:cat>
          <c:val>
            <c:numRef>
              <c:f>Sheet!$B$18:$B$25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DE4-414D-86A6-79733D5EBF4C}"/>
            </c:ext>
          </c:extLst>
        </c:ser>
        <c:dLbls>
          <c:showLegendKey val="0"/>
          <c:showVal val="0"/>
          <c:showCatName val="0"/>
          <c:showSerName val="0"/>
          <c:showPercent val="0"/>
          <c:showBubbleSize val="0"/>
        </c:dLbls>
        <c:gapWidth val="219"/>
        <c:overlap val="-27"/>
        <c:axId val="2018290672"/>
        <c:axId val="2018286096"/>
      </c:barChart>
      <c:catAx>
        <c:axId val="201829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86096"/>
        <c:crosses val="autoZero"/>
        <c:auto val="1"/>
        <c:lblAlgn val="ctr"/>
        <c:lblOffset val="100"/>
        <c:noMultiLvlLbl val="0"/>
      </c:catAx>
      <c:valAx>
        <c:axId val="2018286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9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Excel Project.xlsx]Sheet!PivotTable2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Sheet!$B$1</c:f>
              <c:strCache>
                <c:ptCount val="1"/>
                <c:pt idx="0">
                  <c:v>Total</c:v>
                </c:pt>
              </c:strCache>
            </c:strRef>
          </c:tx>
          <c:spPr>
            <a:ln w="28575" cap="rnd">
              <a:solidFill>
                <a:schemeClr val="accent1"/>
              </a:solidFill>
              <a:round/>
            </a:ln>
            <a:effectLst/>
          </c:spPr>
          <c:marker>
            <c:symbol val="none"/>
          </c:marker>
          <c:cat>
            <c:strRef>
              <c:f>Sheet!$A$2:$A$14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C84-40A6-851D-62E51A84382E}"/>
            </c:ext>
          </c:extLst>
        </c:ser>
        <c:dLbls>
          <c:showLegendKey val="0"/>
          <c:showVal val="0"/>
          <c:showCatName val="0"/>
          <c:showSerName val="0"/>
          <c:showPercent val="0"/>
          <c:showBubbleSize val="0"/>
        </c:dLbls>
        <c:smooth val="0"/>
        <c:axId val="2018266544"/>
        <c:axId val="2018266960"/>
      </c:lineChart>
      <c:catAx>
        <c:axId val="20182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66960"/>
        <c:crosses val="autoZero"/>
        <c:auto val="1"/>
        <c:lblAlgn val="ctr"/>
        <c:lblOffset val="100"/>
        <c:noMultiLvlLbl val="0"/>
      </c:catAx>
      <c:valAx>
        <c:axId val="2018266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6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Excel Project.xlsx]Sheet!PivotTable4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Sheet!$E$4</c:f>
              <c:strCache>
                <c:ptCount val="1"/>
                <c:pt idx="0">
                  <c:v>Total</c:v>
                </c:pt>
              </c:strCache>
            </c:strRef>
          </c:tx>
          <c:spPr>
            <a:solidFill>
              <a:schemeClr val="accent1"/>
            </a:solidFill>
            <a:ln>
              <a:noFill/>
            </a:ln>
            <a:effectLst/>
          </c:spPr>
          <c:invertIfNegative val="0"/>
          <c:cat>
            <c:strRef>
              <c:f>Sheet!$D$5:$D$10</c:f>
              <c:strCache>
                <c:ptCount val="5"/>
                <c:pt idx="0">
                  <c:v>Deserunt Box</c:v>
                </c:pt>
                <c:pt idx="1">
                  <c:v>Dolores Gift</c:v>
                </c:pt>
                <c:pt idx="2">
                  <c:v>Harum Pack</c:v>
                </c:pt>
                <c:pt idx="3">
                  <c:v>Magnam Set</c:v>
                </c:pt>
                <c:pt idx="4">
                  <c:v>Quia Gift</c:v>
                </c:pt>
              </c:strCache>
            </c:strRef>
          </c:cat>
          <c:val>
            <c:numRef>
              <c:f>Sheet!$E$5:$E$10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8C6D-4976-9545-D6C220C73CCF}"/>
            </c:ext>
          </c:extLst>
        </c:ser>
        <c:dLbls>
          <c:showLegendKey val="0"/>
          <c:showVal val="0"/>
          <c:showCatName val="0"/>
          <c:showSerName val="0"/>
          <c:showPercent val="0"/>
          <c:showBubbleSize val="0"/>
        </c:dLbls>
        <c:gapWidth val="219"/>
        <c:overlap val="-27"/>
        <c:axId val="610033088"/>
        <c:axId val="610041408"/>
      </c:barChart>
      <c:catAx>
        <c:axId val="6100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41408"/>
        <c:crosses val="autoZero"/>
        <c:auto val="1"/>
        <c:lblAlgn val="ctr"/>
        <c:lblOffset val="100"/>
        <c:noMultiLvlLbl val="0"/>
      </c:catAx>
      <c:valAx>
        <c:axId val="610041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3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Excel Project.xlsx]Sheet!PivotTable5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Sheet!$E$17</c:f>
              <c:strCache>
                <c:ptCount val="1"/>
                <c:pt idx="0">
                  <c:v>Total</c:v>
                </c:pt>
              </c:strCache>
            </c:strRef>
          </c:tx>
          <c:spPr>
            <a:solidFill>
              <a:schemeClr val="accent1"/>
            </a:solidFill>
            <a:ln>
              <a:noFill/>
            </a:ln>
            <a:effectLst/>
          </c:spPr>
          <c:invertIfNegative val="0"/>
          <c:cat>
            <c:strRef>
              <c:f>Sheet!$D$18:$D$28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207-4F3C-BA5F-99CCDF94492C}"/>
            </c:ext>
          </c:extLst>
        </c:ser>
        <c:dLbls>
          <c:showLegendKey val="0"/>
          <c:showVal val="0"/>
          <c:showCatName val="0"/>
          <c:showSerName val="0"/>
          <c:showPercent val="0"/>
          <c:showBubbleSize val="0"/>
        </c:dLbls>
        <c:gapWidth val="219"/>
        <c:overlap val="-27"/>
        <c:axId val="1046240592"/>
        <c:axId val="1046239344"/>
      </c:barChart>
      <c:catAx>
        <c:axId val="10462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239344"/>
        <c:crosses val="autoZero"/>
        <c:auto val="1"/>
        <c:lblAlgn val="ctr"/>
        <c:lblOffset val="100"/>
        <c:noMultiLvlLbl val="0"/>
      </c:catAx>
      <c:valAx>
        <c:axId val="104623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24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Excel Project.xlsx]Sheet!PivotTable11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Sheet!$B$28</c:f>
              <c:strCache>
                <c:ptCount val="1"/>
                <c:pt idx="0">
                  <c:v>Total</c:v>
                </c:pt>
              </c:strCache>
            </c:strRef>
          </c:tx>
          <c:spPr>
            <a:ln w="28575" cap="rnd">
              <a:solidFill>
                <a:schemeClr val="accent1"/>
              </a:solidFill>
              <a:round/>
            </a:ln>
            <a:effectLst/>
          </c:spPr>
          <c:marker>
            <c:symbol val="none"/>
          </c:marker>
          <c:cat>
            <c:strRef>
              <c:f>Sheet!$A$29:$A$53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Sheet!$B$29:$B$53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83B-48B2-8489-CFD742A48F93}"/>
            </c:ext>
          </c:extLst>
        </c:ser>
        <c:dLbls>
          <c:showLegendKey val="0"/>
          <c:showVal val="0"/>
          <c:showCatName val="0"/>
          <c:showSerName val="0"/>
          <c:showPercent val="0"/>
          <c:showBubbleSize val="0"/>
        </c:dLbls>
        <c:smooth val="0"/>
        <c:axId val="1156156672"/>
        <c:axId val="1156162912"/>
      </c:lineChart>
      <c:catAx>
        <c:axId val="115615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62912"/>
        <c:crosses val="autoZero"/>
        <c:auto val="1"/>
        <c:lblAlgn val="ctr"/>
        <c:lblOffset val="100"/>
        <c:tickLblSkip val="2"/>
        <c:tickMarkSkip val="2"/>
        <c:noMultiLvlLbl val="0"/>
      </c:catAx>
      <c:valAx>
        <c:axId val="1156162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5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n Petals Excel Project.xlsx]Sheet!PivotTable10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Sheet!$H$17</c:f>
              <c:strCache>
                <c:ptCount val="1"/>
                <c:pt idx="0">
                  <c:v>Total</c:v>
                </c:pt>
              </c:strCache>
            </c:strRef>
          </c:tx>
          <c:spPr>
            <a:solidFill>
              <a:schemeClr val="accent1"/>
            </a:solidFill>
            <a:ln>
              <a:noFill/>
            </a:ln>
            <a:effectLst/>
          </c:spPr>
          <c:invertIfNegative val="0"/>
          <c:cat>
            <c:strRef>
              <c:f>Sheet!$G$18:$G$25</c:f>
              <c:strCache>
                <c:ptCount val="7"/>
                <c:pt idx="0">
                  <c:v>All Occasions</c:v>
                </c:pt>
                <c:pt idx="1">
                  <c:v>Anniversary</c:v>
                </c:pt>
                <c:pt idx="2">
                  <c:v>Birthday</c:v>
                </c:pt>
                <c:pt idx="3">
                  <c:v>Diwali</c:v>
                </c:pt>
                <c:pt idx="4">
                  <c:v>Holi</c:v>
                </c:pt>
                <c:pt idx="5">
                  <c:v>Raksha Bandhan</c:v>
                </c:pt>
                <c:pt idx="6">
                  <c:v>Valentine's Day</c:v>
                </c:pt>
              </c:strCache>
            </c:strRef>
          </c:cat>
          <c:val>
            <c:numRef>
              <c:f>Sheet!$H$18:$H$25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5B5-41AD-A4CF-DAF206FC21F7}"/>
            </c:ext>
          </c:extLst>
        </c:ser>
        <c:dLbls>
          <c:showLegendKey val="0"/>
          <c:showVal val="0"/>
          <c:showCatName val="0"/>
          <c:showSerName val="0"/>
          <c:showPercent val="0"/>
          <c:showBubbleSize val="0"/>
        </c:dLbls>
        <c:gapWidth val="219"/>
        <c:overlap val="-27"/>
        <c:axId val="1333050304"/>
        <c:axId val="1333041152"/>
      </c:barChart>
      <c:catAx>
        <c:axId val="13330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41152"/>
        <c:crosses val="autoZero"/>
        <c:auto val="1"/>
        <c:lblAlgn val="ctr"/>
        <c:lblOffset val="100"/>
        <c:noMultiLvlLbl val="0"/>
      </c:catAx>
      <c:valAx>
        <c:axId val="1333041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5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fif"/><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586773</xdr:colOff>
      <xdr:row>9</xdr:row>
      <xdr:rowOff>16076</xdr:rowOff>
    </xdr:from>
    <xdr:to>
      <xdr:col>14</xdr:col>
      <xdr:colOff>8038</xdr:colOff>
      <xdr:row>24</xdr:row>
      <xdr:rowOff>40190</xdr:rowOff>
    </xdr:to>
    <xdr:graphicFrame macro="">
      <xdr:nvGraphicFramePr>
        <xdr:cNvPr id="3" name="Chart 2">
          <a:extLst>
            <a:ext uri="{FF2B5EF4-FFF2-40B4-BE49-F238E27FC236}">
              <a16:creationId xmlns:a16="http://schemas.microsoft.com/office/drawing/2014/main" id="{EDFAD0A3-ADEE-48AF-9DAD-FA2613FCA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241139</xdr:colOff>
      <xdr:row>24</xdr:row>
      <xdr:rowOff>16076</xdr:rowOff>
    </xdr:from>
    <xdr:to>
      <xdr:col>6</xdr:col>
      <xdr:colOff>570697</xdr:colOff>
      <xdr:row>38</xdr:row>
      <xdr:rowOff>178604</xdr:rowOff>
    </xdr:to>
    <xdr:graphicFrame macro="">
      <xdr:nvGraphicFramePr>
        <xdr:cNvPr id="4" name="Chart 3">
          <a:extLst>
            <a:ext uri="{FF2B5EF4-FFF2-40B4-BE49-F238E27FC236}">
              <a16:creationId xmlns:a16="http://schemas.microsoft.com/office/drawing/2014/main" id="{E711BE79-914D-40DB-B656-7B1CAC7FA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570697</xdr:colOff>
      <xdr:row>24</xdr:row>
      <xdr:rowOff>24114</xdr:rowOff>
    </xdr:from>
    <xdr:to>
      <xdr:col>14</xdr:col>
      <xdr:colOff>1</xdr:colOff>
      <xdr:row>38</xdr:row>
      <xdr:rowOff>176916</xdr:rowOff>
    </xdr:to>
    <xdr:graphicFrame macro="">
      <xdr:nvGraphicFramePr>
        <xdr:cNvPr id="5" name="Chart 4">
          <a:extLst>
            <a:ext uri="{FF2B5EF4-FFF2-40B4-BE49-F238E27FC236}">
              <a16:creationId xmlns:a16="http://schemas.microsoft.com/office/drawing/2014/main" id="{D6E29F59-28E9-4ECC-8BE9-5CA2A502C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8037</xdr:colOff>
      <xdr:row>24</xdr:row>
      <xdr:rowOff>8038</xdr:rowOff>
    </xdr:from>
    <xdr:to>
      <xdr:col>20</xdr:col>
      <xdr:colOff>522467</xdr:colOff>
      <xdr:row>38</xdr:row>
      <xdr:rowOff>173138</xdr:rowOff>
    </xdr:to>
    <xdr:graphicFrame macro="">
      <xdr:nvGraphicFramePr>
        <xdr:cNvPr id="6" name="Chart 5">
          <a:extLst>
            <a:ext uri="{FF2B5EF4-FFF2-40B4-BE49-F238E27FC236}">
              <a16:creationId xmlns:a16="http://schemas.microsoft.com/office/drawing/2014/main" id="{EB3CA528-2386-4430-9E5D-868625F02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8039</xdr:colOff>
      <xdr:row>9</xdr:row>
      <xdr:rowOff>16076</xdr:rowOff>
    </xdr:from>
    <xdr:to>
      <xdr:col>20</xdr:col>
      <xdr:colOff>530506</xdr:colOff>
      <xdr:row>24</xdr:row>
      <xdr:rowOff>8036</xdr:rowOff>
    </xdr:to>
    <xdr:graphicFrame macro="">
      <xdr:nvGraphicFramePr>
        <xdr:cNvPr id="7" name="Chart 6">
          <a:extLst>
            <a:ext uri="{FF2B5EF4-FFF2-40B4-BE49-F238E27FC236}">
              <a16:creationId xmlns:a16="http://schemas.microsoft.com/office/drawing/2014/main" id="{5006719F-94F3-4D4C-8F1A-F722DFCEA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128607</xdr:colOff>
      <xdr:row>18</xdr:row>
      <xdr:rowOff>152721</xdr:rowOff>
    </xdr:from>
    <xdr:to>
      <xdr:col>24</xdr:col>
      <xdr:colOff>124749</xdr:colOff>
      <xdr:row>39</xdr:row>
      <xdr:rowOff>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9819E44A-3A76-4549-9CCE-29CA56F1748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957215" y="3480443"/>
              <a:ext cx="1828800" cy="372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257215</xdr:colOff>
      <xdr:row>1</xdr:row>
      <xdr:rowOff>48227</xdr:rowOff>
    </xdr:from>
    <xdr:to>
      <xdr:col>6</xdr:col>
      <xdr:colOff>586773</xdr:colOff>
      <xdr:row>7</xdr:row>
      <xdr:rowOff>112531</xdr:rowOff>
    </xdr:to>
    <xdr:sp macro="" textlink="">
      <xdr:nvSpPr>
        <xdr:cNvPr id="9" name="Rectangle: Top Corners Rounded 8">
          <a:extLst>
            <a:ext uri="{FF2B5EF4-FFF2-40B4-BE49-F238E27FC236}">
              <a16:creationId xmlns:a16="http://schemas.microsoft.com/office/drawing/2014/main" id="{6F7F94B9-4332-4009-8A5E-241AE17CD481}"/>
            </a:ext>
          </a:extLst>
        </xdr:cNvPr>
        <xdr:cNvSpPr/>
      </xdr:nvSpPr>
      <xdr:spPr>
        <a:xfrm>
          <a:off x="257215" y="233100"/>
          <a:ext cx="3994874" cy="117354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800" b="1">
              <a:solidFill>
                <a:schemeClr val="tx1"/>
              </a:solidFill>
            </a:rPr>
            <a:t>SALES</a:t>
          </a:r>
          <a:r>
            <a:rPr lang="en-IN" sz="2800" b="1" baseline="0">
              <a:solidFill>
                <a:schemeClr val="tx1"/>
              </a:solidFill>
            </a:rPr>
            <a:t> ANALYSIS</a:t>
          </a:r>
          <a:endParaRPr lang="en-IN" sz="2800" b="1">
            <a:solidFill>
              <a:schemeClr val="tx1"/>
            </a:solidFill>
          </a:endParaRPr>
        </a:p>
      </xdr:txBody>
    </xdr:sp>
    <xdr:clientData/>
  </xdr:twoCellAnchor>
  <xdr:twoCellAnchor>
    <xdr:from>
      <xdr:col>10</xdr:col>
      <xdr:colOff>457843</xdr:colOff>
      <xdr:row>1</xdr:row>
      <xdr:rowOff>47906</xdr:rowOff>
    </xdr:from>
    <xdr:to>
      <xdr:col>13</xdr:col>
      <xdr:colOff>578735</xdr:colOff>
      <xdr:row>7</xdr:row>
      <xdr:rowOff>112210</xdr:rowOff>
    </xdr:to>
    <xdr:sp macro="" textlink="Sheet!D2">
      <xdr:nvSpPr>
        <xdr:cNvPr id="11" name="Rectangle: Top Corners Rounded 10">
          <a:extLst>
            <a:ext uri="{FF2B5EF4-FFF2-40B4-BE49-F238E27FC236}">
              <a16:creationId xmlns:a16="http://schemas.microsoft.com/office/drawing/2014/main" id="{29F58BC9-8053-4BF8-972C-F2D68402C276}"/>
            </a:ext>
          </a:extLst>
        </xdr:cNvPr>
        <xdr:cNvSpPr/>
      </xdr:nvSpPr>
      <xdr:spPr>
        <a:xfrm>
          <a:off x="6566704" y="232779"/>
          <a:ext cx="1953550" cy="117354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77C4EEC-5788-46C9-8409-FD1ABDA49B06}"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14</xdr:col>
      <xdr:colOff>127965</xdr:colOff>
      <xdr:row>1</xdr:row>
      <xdr:rowOff>39547</xdr:rowOff>
    </xdr:from>
    <xdr:to>
      <xdr:col>17</xdr:col>
      <xdr:colOff>241140</xdr:colOff>
      <xdr:row>7</xdr:row>
      <xdr:rowOff>103851</xdr:rowOff>
    </xdr:to>
    <xdr:sp macro="" textlink="Sheet!F2">
      <xdr:nvSpPr>
        <xdr:cNvPr id="12" name="Rectangle: Top Corners Rounded 11">
          <a:extLst>
            <a:ext uri="{FF2B5EF4-FFF2-40B4-BE49-F238E27FC236}">
              <a16:creationId xmlns:a16="http://schemas.microsoft.com/office/drawing/2014/main" id="{1B4554E7-40F1-4101-805D-6F15627821E5}"/>
            </a:ext>
          </a:extLst>
        </xdr:cNvPr>
        <xdr:cNvSpPr/>
      </xdr:nvSpPr>
      <xdr:spPr>
        <a:xfrm>
          <a:off x="8680370" y="224420"/>
          <a:ext cx="1945833" cy="117354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706A0E-6519-4391-964A-5AC724836481}"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Order-Delivery Time</a:t>
          </a:r>
          <a:endParaRPr lang="en-IN" sz="1400"/>
        </a:p>
      </xdr:txBody>
    </xdr:sp>
    <xdr:clientData/>
  </xdr:twoCellAnchor>
  <xdr:twoCellAnchor>
    <xdr:from>
      <xdr:col>17</xdr:col>
      <xdr:colOff>400934</xdr:colOff>
      <xdr:row>1</xdr:row>
      <xdr:rowOff>39226</xdr:rowOff>
    </xdr:from>
    <xdr:to>
      <xdr:col>20</xdr:col>
      <xdr:colOff>506392</xdr:colOff>
      <xdr:row>7</xdr:row>
      <xdr:rowOff>103530</xdr:rowOff>
    </xdr:to>
    <xdr:sp macro="" textlink="Sheet!E2">
      <xdr:nvSpPr>
        <xdr:cNvPr id="13" name="Rectangle: Top Corners Rounded 12">
          <a:extLst>
            <a:ext uri="{FF2B5EF4-FFF2-40B4-BE49-F238E27FC236}">
              <a16:creationId xmlns:a16="http://schemas.microsoft.com/office/drawing/2014/main" id="{1E80FBA5-833C-4AE2-8F80-D71BA55BEE64}"/>
            </a:ext>
          </a:extLst>
        </xdr:cNvPr>
        <xdr:cNvSpPr/>
      </xdr:nvSpPr>
      <xdr:spPr>
        <a:xfrm>
          <a:off x="10785997" y="224099"/>
          <a:ext cx="1938117" cy="117354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29F67C-CD97-48DE-9E93-4EF6BA68C7DD}" type="TxLink">
            <a:rPr lang="en-US" sz="1400" b="0" i="0" u="none" strike="noStrike">
              <a:solidFill>
                <a:srgbClr val="000000"/>
              </a:solidFill>
              <a:latin typeface="Calibri"/>
              <a:ea typeface="Calibri"/>
              <a:cs typeface="Calibri"/>
            </a:rPr>
            <a:pPr algn="ctr"/>
            <a:t>₹ 3,520.98</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 Customer's</a:t>
          </a:r>
          <a:r>
            <a:rPr lang="en-US" sz="1400" b="0" i="0" u="none" strike="noStrike" baseline="0">
              <a:solidFill>
                <a:srgbClr val="000000"/>
              </a:solidFill>
              <a:latin typeface="Calibri"/>
              <a:ea typeface="Calibri"/>
              <a:cs typeface="Calibri"/>
            </a:rPr>
            <a:t> Spent</a:t>
          </a:r>
          <a:endParaRPr lang="en-IN" sz="1400"/>
        </a:p>
      </xdr:txBody>
    </xdr:sp>
    <xdr:clientData/>
  </xdr:twoCellAnchor>
  <xdr:twoCellAnchor editAs="oneCell">
    <xdr:from>
      <xdr:col>21</xdr:col>
      <xdr:colOff>121132</xdr:colOff>
      <xdr:row>1</xdr:row>
      <xdr:rowOff>50719</xdr:rowOff>
    </xdr:from>
    <xdr:to>
      <xdr:col>24</xdr:col>
      <xdr:colOff>136645</xdr:colOff>
      <xdr:row>8</xdr:row>
      <xdr:rowOff>128205</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E3699DDA-5A37-4B06-9898-2AD001DBE2A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949740" y="235592"/>
              <a:ext cx="184817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118559</xdr:colOff>
      <xdr:row>9</xdr:row>
      <xdr:rowOff>171288</xdr:rowOff>
    </xdr:from>
    <xdr:to>
      <xdr:col>24</xdr:col>
      <xdr:colOff>160759</xdr:colOff>
      <xdr:row>17</xdr:row>
      <xdr:rowOff>96456</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370032D0-2BBF-44B3-A491-9454C28E3C4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947167" y="1835149"/>
              <a:ext cx="1874858" cy="1404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168797</xdr:colOff>
      <xdr:row>1</xdr:row>
      <xdr:rowOff>40190</xdr:rowOff>
    </xdr:from>
    <xdr:to>
      <xdr:col>10</xdr:col>
      <xdr:colOff>289689</xdr:colOff>
      <xdr:row>7</xdr:row>
      <xdr:rowOff>104494</xdr:rowOff>
    </xdr:to>
    <xdr:sp macro="" textlink="">
      <xdr:nvSpPr>
        <xdr:cNvPr id="17" name="Rectangle: Top Corners Rounded 16">
          <a:extLst>
            <a:ext uri="{FF2B5EF4-FFF2-40B4-BE49-F238E27FC236}">
              <a16:creationId xmlns:a16="http://schemas.microsoft.com/office/drawing/2014/main" id="{708530D4-2194-4F52-BA46-815B43D7AABD}"/>
            </a:ext>
          </a:extLst>
        </xdr:cNvPr>
        <xdr:cNvSpPr/>
      </xdr:nvSpPr>
      <xdr:spPr>
        <a:xfrm>
          <a:off x="4445000" y="225063"/>
          <a:ext cx="1953550" cy="117354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1000</a:t>
          </a:r>
        </a:p>
        <a:p>
          <a:pPr algn="ctr"/>
          <a:r>
            <a:rPr lang="en-US" sz="1600" b="0" i="0" u="none" strike="noStrike">
              <a:solidFill>
                <a:srgbClr val="000000"/>
              </a:solidFill>
              <a:latin typeface="Calibri"/>
              <a:ea typeface="Calibri"/>
              <a:cs typeface="Calibri"/>
            </a:rPr>
            <a:t>Total Orders</a:t>
          </a:r>
        </a:p>
      </xdr:txBody>
    </xdr:sp>
    <xdr:clientData/>
  </xdr:twoCellAnchor>
  <xdr:twoCellAnchor editAs="oneCell">
    <xdr:from>
      <xdr:col>0</xdr:col>
      <xdr:colOff>353670</xdr:colOff>
      <xdr:row>1</xdr:row>
      <xdr:rowOff>160760</xdr:rowOff>
    </xdr:from>
    <xdr:to>
      <xdr:col>2</xdr:col>
      <xdr:colOff>337595</xdr:colOff>
      <xdr:row>7</xdr:row>
      <xdr:rowOff>48228</xdr:rowOff>
    </xdr:to>
    <xdr:pic>
      <xdr:nvPicPr>
        <xdr:cNvPr id="19" name="Picture 18">
          <a:extLst>
            <a:ext uri="{FF2B5EF4-FFF2-40B4-BE49-F238E27FC236}">
              <a16:creationId xmlns:a16="http://schemas.microsoft.com/office/drawing/2014/main" id="{11210C53-73F0-437E-990E-48C30629798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53670" y="345633"/>
          <a:ext cx="1205697" cy="996709"/>
        </a:xfrm>
        <a:prstGeom prst="rect">
          <a:avLst/>
        </a:prstGeom>
        <a:solidFill>
          <a:schemeClr val="accent1"/>
        </a:solidFill>
      </xdr:spPr>
    </xdr:pic>
    <xdr:clientData/>
  </xdr:twoCellAnchor>
  <xdr:twoCellAnchor>
    <xdr:from>
      <xdr:col>0</xdr:col>
      <xdr:colOff>241139</xdr:colOff>
      <xdr:row>8</xdr:row>
      <xdr:rowOff>184873</xdr:rowOff>
    </xdr:from>
    <xdr:to>
      <xdr:col>6</xdr:col>
      <xdr:colOff>586773</xdr:colOff>
      <xdr:row>24</xdr:row>
      <xdr:rowOff>16076</xdr:rowOff>
    </xdr:to>
    <xdr:graphicFrame macro="">
      <xdr:nvGraphicFramePr>
        <xdr:cNvPr id="20" name="Chart 19">
          <a:extLst>
            <a:ext uri="{FF2B5EF4-FFF2-40B4-BE49-F238E27FC236}">
              <a16:creationId xmlns:a16="http://schemas.microsoft.com/office/drawing/2014/main" id="{D1978252-2A09-4F48-8F19-9C297A070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344212964" backgroundQuery="1" createdVersion="7" refreshedVersion="7" minRefreshableVersion="3" recordCount="0" supportSubquery="1" supportAdvancedDrill="1" xr:uid="{C83EA8B7-BF60-41AA-84E1-CF95A640B6EE}">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6782407" backgroundQuery="1" createdVersion="7" refreshedVersion="7" minRefreshableVersion="3" recordCount="0" supportSubquery="1" supportAdvancedDrill="1" xr:uid="{D7266D68-1797-4B9D-BCD9-8F92154A8466}">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7245369" backgroundQuery="1" createdVersion="7" refreshedVersion="7" minRefreshableVersion="3" recordCount="0" supportSubquery="1" supportAdvancedDrill="1" xr:uid="{5A4F3115-3B1A-400C-94D5-B381185A45C1}">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Sum of Revenue]" caption="Sum of Revenue" numFmtId="0" hierarchy="43"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7592592" backgroundQuery="1" createdVersion="7" refreshedVersion="7" minRefreshableVersion="3" recordCount="0" supportSubquery="1" supportAdvancedDrill="1" xr:uid="{4BE8FF59-5EF6-410F-9330-F0BE73BC4123}">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7939815" backgroundQuery="1" createdVersion="7" refreshedVersion="7" minRefreshableVersion="3" recordCount="0" supportSubquery="1" supportAdvancedDrill="1" xr:uid="{26B9D355-3634-4C14-8E29-007B277AE263}">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8055554" backgroundQuery="1" createdVersion="7" refreshedVersion="7" minRefreshableVersion="3" recordCount="0" supportSubquery="1" supportAdvancedDrill="1" xr:uid="{DFFD2AD4-F947-41E1-A7D8-2893CD7B1E67}">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8518516" backgroundQuery="1" createdVersion="7" refreshedVersion="7" minRefreshableVersion="3" recordCount="0" supportSubquery="1" supportAdvancedDrill="1" xr:uid="{05A44837-501D-4D21-A06A-557B3B13A91C}">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diff_order_deliver]" caption="Average of diff_order_deliver" numFmtId="0" hierarchy="45" level="32767"/>
    <cacheField name="[Measures].[Count of Order_ID]" caption="Count of Order_ID" numFmtId="0" hierarchy="4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8865739" backgroundQuery="1" createdVersion="7" refreshedVersion="7" minRefreshableVersion="3" recordCount="0" supportSubquery="1" supportAdvancedDrill="1" xr:uid="{8BBA81DC-454E-432E-A4AF-D48DDBD6E069}">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 caption="diff_order_deliver" attribute="1" defaultMemberUniqueName="[Orders].[diff_order_deliver].[All]" allUniqueName="[Orders].[diff_order_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57468981485" backgroundQuery="1" createdVersion="7" refreshedVersion="7" minRefreshableVersion="3" recordCount="0" supportSubquery="1" supportAdvancedDrill="1" xr:uid="{18F66143-A77C-4EF3-B2B0-D08B31E61A34}">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678249652781" backgroundQuery="1" createdVersion="3" refreshedVersion="7" minRefreshableVersion="3" recordCount="0" supportSubquery="1" supportAdvancedDrill="1" xr:uid="{45FA49E8-27E8-40B5-BD82-877E5A029A8F}">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5737058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49.824485069446" backgroundQuery="1" createdVersion="3" refreshedVersion="7" minRefreshableVersion="3" recordCount="0" supportSubquery="1" supportAdvancedDrill="1" xr:uid="{48F7E098-E9D3-4F44-A7A9-520A621B5C41}">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7721907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0DC7F-806D-452E-BB82-CE81B8512180}" name="PivotTable10" cacheId="224" applyNumberFormats="0" applyBorderFormats="0" applyFontFormats="0" applyPatternFormats="0" applyAlignmentFormats="0" applyWidthHeightFormats="1" dataCaption="Values" tag="7b3555e2-5782-4ff9-bc90-655fcf75eb1b" updatedVersion="7" minRefreshableVersion="3" useAutoFormatting="1" itemPrintTitles="1" createdVersion="7" indent="0" outline="1" outlineData="1" multipleFieldFilters="0" chartFormat="9">
  <location ref="G17:H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40C512-D643-4577-B474-204E928A28D5}" name="PivotTable5" cacheId="307" applyNumberFormats="0" applyBorderFormats="0" applyFontFormats="0" applyPatternFormats="0" applyAlignmentFormats="0" applyWidthHeightFormats="1" dataCaption="Values" tag="c3d8df4b-90eb-4e08-bfaa-252cedf3b339" updatedVersion="7" minRefreshableVersion="3" useAutoFormatting="1" itemPrintTitles="1" createdVersion="7" indent="0" outline="1" outlineData="1" multipleFieldFilters="0" chartFormat="5">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4B39E-0930-4225-931B-D8B2119CB2BB}" name="PivotTable9" cacheId="316" applyNumberFormats="0" applyBorderFormats="0" applyFontFormats="0" applyPatternFormats="0" applyAlignmentFormats="0" applyWidthHeightFormats="1" dataCaption="Values" tag="8dfb5f10-5f06-48c0-a614-218ad8c7b71a" updatedVersion="7" minRefreshableVersion="5" useAutoFormatting="1" itemPrintTitles="1" createdVersion="7" indent="0" outline="1" outlineData="1" multipleFieldFilters="0" chartFormat="5">
  <location ref="A17:B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6D26A8-3F3B-4D16-9376-87D492DAB135}" name="PivotTable4" cacheId="298" applyNumberFormats="0" applyBorderFormats="0" applyFontFormats="0" applyPatternFormats="0" applyAlignmentFormats="0" applyWidthHeightFormats="1" dataCaption="Values" tag="a9705c4a-6953-4dfc-be84-5a43be2ae3cc" updatedVersion="7" minRefreshableVersion="3" useAutoFormatting="1" itemPrintTitles="1" createdVersion="7" indent="0" outline="1" outlineData="1" multipleFieldFilters="0" chartFormat="5">
  <location ref="D4:E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0E7669-B479-4140-A104-A648D39FA102}" name="PivotTable2" cacheId="304" applyNumberFormats="0" applyBorderFormats="0" applyFontFormats="0" applyPatternFormats="0" applyAlignmentFormats="0" applyWidthHeightFormats="1" dataCaption="Values" tag="9d79c091-fd02-45fa-9cc7-d0e7ec0d2019" updatedVersion="7" minRefreshableVersion="3" useAutoFormatting="1" itemPrintTitles="1" createdVersion="7" indent="0" outline="1" outlineData="1" multipleFieldFilters="0" chartFormat="8">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2769E0-B990-43ED-A6EB-CE8D2262C418}" name="PivotTable8" cacheId="313" applyNumberFormats="0" applyBorderFormats="0" applyFontFormats="0" applyPatternFormats="0" applyAlignmentFormats="0" applyWidthHeightFormats="1" dataCaption="Values" tag="6b8e437a-b45d-44ac-9328-020ed29715cc" updatedVersion="7" minRefreshableVersion="3" useAutoFormatting="1" subtotalHiddenItems="1" itemPrintTitles="1" createdVersion="7" indent="0" outline="1" outlineData="1" multipleFieldFilters="0">
  <location ref="F1:G2" firstHeaderRow="0"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 fld="1" subtotal="average" baseField="0" baseItem="9"/>
    <dataField name="Count of Order_ID" fld="2" subtotal="count"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341B89-94DD-48CB-95A0-562557AADFE5}" name="PivotTable7" cacheId="319" applyNumberFormats="0" applyBorderFormats="0" applyFontFormats="0" applyPatternFormats="0" applyAlignmentFormats="0" applyWidthHeightFormats="1" dataCaption="Values" tag="8f6e4b80-2ff2-4179-aeb9-ffbc9e1f3f5f" updatedVersion="7" minRefreshableVersion="3" useAutoFormatting="1" itemPrintTitles="1" createdVersion="7" indent="0" outline="1" outlineData="1" multipleFieldFilters="0">
  <location ref="E1:E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1"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7967E0-CC8E-48A0-BC81-C57EDB0A21A6}" name="PivotTable6" cacheId="310" applyNumberFormats="0" applyBorderFormats="0" applyFontFormats="0" applyPatternFormats="0" applyAlignmentFormats="0" applyWidthHeightFormats="1" dataCaption="Values" tag="d7f89b9e-e1de-4033-ab73-f796501e2356" updatedVersion="7" minRefreshableVersion="3" useAutoFormatting="1" itemPrintTitles="1" createdVersion="7" indent="0" outline="1" outlineData="1" multipleFieldFilters="0">
  <location ref="D1:D2" firstHeaderRow="1" firstDataRow="1" firstDataCol="0"/>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C34467-6AD3-475D-9DC5-68469D60C059}" name="PivotTable11" cacheId="301" applyNumberFormats="0" applyBorderFormats="0" applyFontFormats="0" applyPatternFormats="0" applyAlignmentFormats="0" applyWidthHeightFormats="1" dataCaption="Values" tag="f2322385-7a36-4ada-8e04-3dde8d552afa" updatedVersion="7" minRefreshableVersion="3" useAutoFormatting="1" subtotalHiddenItems="1" itemPrintTitles="1" createdVersion="7" indent="0" outline="1" outlineData="1" multipleFieldFilters="0" chartFormat="14">
  <location ref="A28:B5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1" baseItem="16"/>
  </dataFields>
  <chartFormats count="1">
    <chartFormat chart="1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Order time)"/>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45082B-37BE-4234-81F2-8E40112E80C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F201724-4426-458B-8EFF-3433806068B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6DFAA84-B099-4974-A4B3-2194E06974B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 tableColumnId="13"/>
      <queryTableField id="14" name="Hour(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071344E-F104-45AC-89A1-2B61E4255C9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27533F5-0223-465F-944D-5011DBF95413}" sourceName="[Orders].[Occasion]">
  <pivotTables>
    <pivotTable tabId="6" name="PivotTable4"/>
    <pivotTable tabId="6" name="PivotTable11"/>
    <pivotTable tabId="6" name="PivotTable2"/>
    <pivotTable tabId="6" name="PivotTable5"/>
    <pivotTable tabId="6" name="PivotTable6"/>
    <pivotTable tabId="6" name="PivotTable8"/>
    <pivotTable tabId="6" name="PivotTable9"/>
    <pivotTable tabId="6" name="PivotTable7"/>
  </pivotTables>
  <data>
    <olap pivotCacheId="95737058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22AF90B-5430-4765-B479-A3EC3119997A}"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4D1368-57FE-448A-B1F1-24921A2D4CE2}" name="fnp_dataset" displayName="fnp_dataset" ref="A1:F4" tableType="queryTable" totalsRowShown="0">
  <autoFilter ref="A1:F4" xr:uid="{224D1368-57FE-448A-B1F1-24921A2D4CE2}"/>
  <tableColumns count="6">
    <tableColumn id="1" xr3:uid="{AFF58FD5-B3A7-4D6E-8064-81CC76D22DE5}" uniqueName="1" name="Name" queryTableFieldId="1" dataDxfId="24"/>
    <tableColumn id="2" xr3:uid="{8AB800B2-036B-4CF2-9449-DFE2550F7EDF}" uniqueName="2" name="Extension" queryTableFieldId="2" dataDxfId="23"/>
    <tableColumn id="3" xr3:uid="{B17D92F2-FAEF-4897-A5E8-C8977711D54D}" uniqueName="3" name="Date accessed" queryTableFieldId="3" dataDxfId="22"/>
    <tableColumn id="4" xr3:uid="{EAEC0260-163A-4DE3-8A82-F4500C044EA3}" uniqueName="4" name="Date modified" queryTableFieldId="4" dataDxfId="21"/>
    <tableColumn id="5" xr3:uid="{7FA2D1EA-F561-40BC-AEF8-FBF76B917597}" uniqueName="5" name="Date created" queryTableFieldId="5" dataDxfId="20"/>
    <tableColumn id="6" xr3:uid="{B0BB0370-4C9B-4A48-9858-B2629E07A7F8}"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9928C8-FBC5-473B-B5E4-5BD39324B2BE}" name="Customers" displayName="Customers" ref="A1:G101" tableType="queryTable" totalsRowShown="0">
  <autoFilter ref="A1:G101" xr:uid="{E59928C8-FBC5-473B-B5E4-5BD39324B2BE}"/>
  <tableColumns count="7">
    <tableColumn id="1" xr3:uid="{B6F716FA-42DF-432B-BEAB-E8D5BAB0F8AA}" uniqueName="1" name="Customer_ID" queryTableFieldId="1" dataDxfId="18"/>
    <tableColumn id="2" xr3:uid="{097C64BB-560A-4FB6-9AE5-A92AE4EADEC8}" uniqueName="2" name="Name" queryTableFieldId="2" dataDxfId="17"/>
    <tableColumn id="3" xr3:uid="{838C2A4D-3200-46A5-AD7E-4D3FC204ACA8}" uniqueName="3" name="City" queryTableFieldId="3" dataDxfId="16"/>
    <tableColumn id="4" xr3:uid="{188B5C72-98E4-49C3-9A24-8BCEACECA661}" uniqueName="4" name="Contact_Number" queryTableFieldId="4" dataDxfId="15"/>
    <tableColumn id="5" xr3:uid="{59454E35-936D-4965-A20D-042D59720643}" uniqueName="5" name="Email" queryTableFieldId="5" dataDxfId="14"/>
    <tableColumn id="6" xr3:uid="{4C05B819-511A-49E5-88F7-707E4B4531F0}" uniqueName="6" name="Gender" queryTableFieldId="6" dataDxfId="13"/>
    <tableColumn id="7" xr3:uid="{9C09451B-7590-4212-A269-1D0BF8379B54}"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1E296F-45C9-43F0-8C32-3C08CD147A52}" name="Orders" displayName="Orders" ref="A1:Q1001" tableType="queryTable" totalsRowShown="0">
  <autoFilter ref="A1:Q1001" xr:uid="{8B1E296F-45C9-43F0-8C32-3C08CD147A52}"/>
  <tableColumns count="17">
    <tableColumn id="1" xr3:uid="{AF38CB68-9385-4CDE-9B5D-425CBAD2ACC4}" uniqueName="1" name="Order_ID" queryTableFieldId="1"/>
    <tableColumn id="2" xr3:uid="{2019B06E-631E-40E7-A213-F70903724C43}" uniqueName="2" name="Customer_ID" queryTableFieldId="2" dataDxfId="11"/>
    <tableColumn id="3" xr3:uid="{8E462658-3E33-4A8B-A881-EBF76300463B}" uniqueName="3" name="Product_ID" queryTableFieldId="3"/>
    <tableColumn id="4" xr3:uid="{074E40F7-8428-46EA-898B-D0990283AA16}" uniqueName="4" name="Quantity" queryTableFieldId="4"/>
    <tableColumn id="5" xr3:uid="{338571A6-0885-432D-9B87-D877A79F469F}" uniqueName="5" name="Order_Date" queryTableFieldId="5" dataDxfId="10"/>
    <tableColumn id="6" xr3:uid="{17D6E447-BE52-4DDC-91B5-D56544723417}" uniqueName="6" name="Order_Time" queryTableFieldId="6" dataDxfId="9"/>
    <tableColumn id="7" xr3:uid="{FF9F55C8-4855-44B0-875D-77EED6C376F0}" uniqueName="7" name="Delivery_Date" queryTableFieldId="7" dataDxfId="8"/>
    <tableColumn id="8" xr3:uid="{7DAF3AE5-1707-46E6-924D-5999A330383D}" uniqueName="8" name="Delivery_Time" queryTableFieldId="8" dataDxfId="7"/>
    <tableColumn id="9" xr3:uid="{703844B1-D105-4626-95C9-C6E86C85399C}" uniqueName="9" name="Location" queryTableFieldId="9" dataDxfId="6"/>
    <tableColumn id="10" xr3:uid="{8BD75739-7E04-402E-BD41-AD7264A5BF7B}" uniqueName="10" name="Occasion" queryTableFieldId="10" dataDxfId="5"/>
    <tableColumn id="11" xr3:uid="{4CFD0BE2-6595-4B75-8E60-80469A51CA04}" uniqueName="11" name="Month Name" queryTableFieldId="11" dataDxfId="4"/>
    <tableColumn id="12" xr3:uid="{70735D48-B604-47D9-AEA9-D538A2D47F5B}" uniqueName="12" name="Hour(Order time)" queryTableFieldId="12"/>
    <tableColumn id="13" xr3:uid="{CD24FD15-49EF-47CA-85AB-01315BC7CBBE}" uniqueName="13" name="diff_order_deliver" queryTableFieldId="13"/>
    <tableColumn id="14" xr3:uid="{094D17C1-A666-4100-A85F-887F55635420}" uniqueName="14" name="Hour(Delivery time)" queryTableFieldId="14"/>
    <tableColumn id="15" xr3:uid="{C9198B4F-BAD0-4EC8-838F-817F4828F5BA}" uniqueName="15" name="Price (INR)" queryTableFieldId="15"/>
    <tableColumn id="16" xr3:uid="{1F74033E-1803-4644-8DE9-6453BD3BDC72}" uniqueName="16" name="Revenue" queryTableFieldId="16"/>
    <tableColumn id="17" xr3:uid="{940B54AD-3DC5-4AC0-9266-388875211C9D}" uniqueName="17" name="Day Name(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DDF90B-66D1-4A40-A2E0-98E07D021FFB}" name="Products" displayName="Products" ref="A1:F71" tableType="queryTable" totalsRowShown="0">
  <autoFilter ref="A1:F71" xr:uid="{0ADDF90B-66D1-4A40-A2E0-98E07D021FFB}"/>
  <tableColumns count="6">
    <tableColumn id="1" xr3:uid="{7A5BA6D3-77E6-4FFF-B4B8-F2A5B789BC06}" uniqueName="1" name="Product_ID" queryTableFieldId="1"/>
    <tableColumn id="2" xr3:uid="{29EFFA95-7BFD-486C-A6A4-EFCBB7BAB325}" uniqueName="2" name="Product_Name" queryTableFieldId="2" dataDxfId="3"/>
    <tableColumn id="3" xr3:uid="{720B797E-8864-4E0B-8B82-58B741C03D46}" uniqueName="3" name="Category" queryTableFieldId="3" dataDxfId="2"/>
    <tableColumn id="4" xr3:uid="{4A7CCDCC-5CB6-47BF-AE39-E42853717677}" uniqueName="4" name="Price (INR)" queryTableFieldId="4"/>
    <tableColumn id="5" xr3:uid="{66671ABD-57D1-49D6-9FAE-487686E7DAAC}" uniqueName="5" name="Occasion" queryTableFieldId="5" dataDxfId="1"/>
    <tableColumn id="6" xr3:uid="{3A683D31-B35F-4967-9860-1AA38E4C383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5C99989-9AF5-410A-A303-1D7BB51FEB88}" sourceName="[Orders].[Order_Date]">
  <pivotTables>
    <pivotTable tabId="6" name="PivotTable9"/>
  </pivotTables>
  <state minimalRefreshVersion="6" lastRefreshVersion="6" pivotCacheId="77219073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7C11AF8-1EB0-420D-A374-6B492B725BEB}" sourceName="[Orders].[Delivery_Date]">
  <pivotTables>
    <pivotTable tabId="6" name="PivotTable9"/>
  </pivotTables>
  <state minimalRefreshVersion="6" lastRefreshVersion="6" pivotCacheId="77219073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1BB0BD4-231E-4574-A54B-5C2E5850B560}" cache="Timeline_Order_Date" caption="Order_Date" level="2" selectionLevel="2" scrollPosition="2023-06-06T00:00:00"/>
  <timeline name="Delivery_Date" xr10:uid="{176F5A96-9F7A-46D5-93B7-A524F7A51488}"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EF2B-AA2E-4F75-8177-82A374305795}">
  <dimension ref="A1:F4"/>
  <sheetViews>
    <sheetView workbookViewId="0">
      <selection sqref="A1:F4"/>
    </sheetView>
  </sheetViews>
  <sheetFormatPr defaultRowHeight="14.5" x14ac:dyDescent="0.35"/>
  <cols>
    <col min="1" max="1" width="12.54296875" bestFit="1" customWidth="1"/>
    <col min="2" max="2" width="11.26953125" bestFit="1" customWidth="1"/>
    <col min="3" max="5" width="15.54296875" bestFit="1" customWidth="1"/>
    <col min="6" max="6" width="30.81640625" bestFit="1" customWidth="1"/>
  </cols>
  <sheetData>
    <row r="1" spans="1:6" x14ac:dyDescent="0.35">
      <c r="A1" t="s">
        <v>0</v>
      </c>
      <c r="B1" t="s">
        <v>1</v>
      </c>
      <c r="C1" t="s">
        <v>2</v>
      </c>
      <c r="D1" t="s">
        <v>3</v>
      </c>
      <c r="E1" t="s">
        <v>4</v>
      </c>
      <c r="F1" t="s">
        <v>5</v>
      </c>
    </row>
    <row r="2" spans="1:6" x14ac:dyDescent="0.35">
      <c r="A2" t="s">
        <v>6</v>
      </c>
      <c r="B2" t="s">
        <v>7</v>
      </c>
      <c r="C2" s="1">
        <v>46049.605040393515</v>
      </c>
      <c r="D2" s="1">
        <v>46049.605039506176</v>
      </c>
      <c r="E2" s="1">
        <v>46049.605034915126</v>
      </c>
      <c r="F2" t="s">
        <v>8</v>
      </c>
    </row>
    <row r="3" spans="1:6" x14ac:dyDescent="0.35">
      <c r="A3" t="s">
        <v>9</v>
      </c>
      <c r="B3" t="s">
        <v>7</v>
      </c>
      <c r="C3" s="1">
        <v>46049.60517554012</v>
      </c>
      <c r="D3" s="1">
        <v>46049.605167939815</v>
      </c>
      <c r="E3" s="1">
        <v>46049.605163657405</v>
      </c>
      <c r="F3" t="s">
        <v>8</v>
      </c>
    </row>
    <row r="4" spans="1:6" x14ac:dyDescent="0.35">
      <c r="A4" t="s">
        <v>10</v>
      </c>
      <c r="B4" t="s">
        <v>7</v>
      </c>
      <c r="C4" s="1">
        <v>46049.605291126543</v>
      </c>
      <c r="D4" s="1">
        <v>46049.60528275463</v>
      </c>
      <c r="E4" s="1">
        <v>46049.605279050927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0BA1-475C-4AD3-8730-66AD249588CC}">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E072-9EE9-4B03-8CE0-95F9248F7215}">
  <dimension ref="A1:Q1001"/>
  <sheetViews>
    <sheetView topLeftCell="E1"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7.81640625" bestFit="1" customWidth="1"/>
    <col min="13" max="13" width="18.26953125" bestFit="1" customWidth="1"/>
    <col min="14" max="14" width="19.7265625" bestFit="1" customWidth="1"/>
    <col min="15" max="15" width="11.81640625" bestFit="1" customWidth="1"/>
    <col min="16" max="16" width="10.26953125" bestFit="1" customWidth="1"/>
    <col min="17" max="17" width="22"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4AD3-C696-4D7C-8991-EC92A797C2CF}">
  <dimension ref="A1:F71"/>
  <sheetViews>
    <sheetView topLeftCell="B1"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856</v>
      </c>
      <c r="C1" t="s">
        <v>857</v>
      </c>
      <c r="D1" t="s">
        <v>618</v>
      </c>
      <c r="E1" t="s">
        <v>613</v>
      </c>
      <c r="F1" t="s">
        <v>858</v>
      </c>
    </row>
    <row r="2" spans="1:6" x14ac:dyDescent="0.35">
      <c r="A2">
        <v>1</v>
      </c>
      <c r="B2" t="s">
        <v>859</v>
      </c>
      <c r="C2" t="s">
        <v>860</v>
      </c>
      <c r="D2">
        <v>1935</v>
      </c>
      <c r="E2" t="s">
        <v>699</v>
      </c>
      <c r="F2" t="s">
        <v>861</v>
      </c>
    </row>
    <row r="3" spans="1:6" x14ac:dyDescent="0.35">
      <c r="A3">
        <v>2</v>
      </c>
      <c r="B3" t="s">
        <v>862</v>
      </c>
      <c r="C3" t="s">
        <v>863</v>
      </c>
      <c r="D3">
        <v>441</v>
      </c>
      <c r="E3" t="s">
        <v>620</v>
      </c>
      <c r="F3" t="s">
        <v>864</v>
      </c>
    </row>
    <row r="4" spans="1:6" x14ac:dyDescent="0.35">
      <c r="A4">
        <v>3</v>
      </c>
      <c r="B4" t="s">
        <v>865</v>
      </c>
      <c r="C4" t="s">
        <v>866</v>
      </c>
      <c r="D4">
        <v>1534</v>
      </c>
      <c r="E4" t="s">
        <v>620</v>
      </c>
      <c r="F4" t="s">
        <v>867</v>
      </c>
    </row>
    <row r="5" spans="1:6" x14ac:dyDescent="0.35">
      <c r="A5">
        <v>4</v>
      </c>
      <c r="B5" t="s">
        <v>868</v>
      </c>
      <c r="C5" t="s">
        <v>869</v>
      </c>
      <c r="D5">
        <v>1199</v>
      </c>
      <c r="E5" t="s">
        <v>829</v>
      </c>
      <c r="F5" t="s">
        <v>870</v>
      </c>
    </row>
    <row r="6" spans="1:6" x14ac:dyDescent="0.35">
      <c r="A6">
        <v>5</v>
      </c>
      <c r="B6" t="s">
        <v>871</v>
      </c>
      <c r="C6" t="s">
        <v>866</v>
      </c>
      <c r="D6">
        <v>1444</v>
      </c>
      <c r="E6" t="s">
        <v>699</v>
      </c>
      <c r="F6" t="s">
        <v>872</v>
      </c>
    </row>
    <row r="7" spans="1:6" x14ac:dyDescent="0.35">
      <c r="A7">
        <v>6</v>
      </c>
      <c r="B7" t="s">
        <v>873</v>
      </c>
      <c r="C7" t="s">
        <v>874</v>
      </c>
      <c r="D7">
        <v>1112</v>
      </c>
      <c r="E7" t="s">
        <v>701</v>
      </c>
      <c r="F7" t="s">
        <v>875</v>
      </c>
    </row>
    <row r="8" spans="1:6" x14ac:dyDescent="0.35">
      <c r="A8">
        <v>7</v>
      </c>
      <c r="B8" t="s">
        <v>876</v>
      </c>
      <c r="C8" t="s">
        <v>860</v>
      </c>
      <c r="D8">
        <v>409</v>
      </c>
      <c r="E8" t="s">
        <v>701</v>
      </c>
      <c r="F8" t="s">
        <v>877</v>
      </c>
    </row>
    <row r="9" spans="1:6" x14ac:dyDescent="0.35">
      <c r="A9">
        <v>8</v>
      </c>
      <c r="B9" t="s">
        <v>878</v>
      </c>
      <c r="C9" t="s">
        <v>869</v>
      </c>
      <c r="D9">
        <v>252</v>
      </c>
      <c r="E9" t="s">
        <v>698</v>
      </c>
      <c r="F9" t="s">
        <v>879</v>
      </c>
    </row>
    <row r="10" spans="1:6" x14ac:dyDescent="0.35">
      <c r="A10">
        <v>9</v>
      </c>
      <c r="B10" t="s">
        <v>880</v>
      </c>
      <c r="C10" t="s">
        <v>866</v>
      </c>
      <c r="D10">
        <v>1605</v>
      </c>
      <c r="E10" t="s">
        <v>794</v>
      </c>
      <c r="F10" t="s">
        <v>881</v>
      </c>
    </row>
    <row r="11" spans="1:6" x14ac:dyDescent="0.35">
      <c r="A11">
        <v>10</v>
      </c>
      <c r="B11" t="s">
        <v>882</v>
      </c>
      <c r="C11" t="s">
        <v>874</v>
      </c>
      <c r="D11">
        <v>259</v>
      </c>
      <c r="E11" t="s">
        <v>707</v>
      </c>
      <c r="F11" t="s">
        <v>883</v>
      </c>
    </row>
    <row r="12" spans="1:6" x14ac:dyDescent="0.35">
      <c r="A12">
        <v>11</v>
      </c>
      <c r="B12" t="s">
        <v>884</v>
      </c>
      <c r="C12" t="s">
        <v>885</v>
      </c>
      <c r="D12">
        <v>1096</v>
      </c>
      <c r="E12" t="s">
        <v>620</v>
      </c>
      <c r="F12" t="s">
        <v>886</v>
      </c>
    </row>
    <row r="13" spans="1:6" x14ac:dyDescent="0.35">
      <c r="A13">
        <v>12</v>
      </c>
      <c r="B13" t="s">
        <v>887</v>
      </c>
      <c r="C13" t="s">
        <v>863</v>
      </c>
      <c r="D13">
        <v>672</v>
      </c>
      <c r="E13" t="s">
        <v>698</v>
      </c>
      <c r="F13" t="s">
        <v>888</v>
      </c>
    </row>
    <row r="14" spans="1:6" x14ac:dyDescent="0.35">
      <c r="A14">
        <v>13</v>
      </c>
      <c r="B14" t="s">
        <v>889</v>
      </c>
      <c r="C14" t="s">
        <v>885</v>
      </c>
      <c r="D14">
        <v>1141</v>
      </c>
      <c r="E14" t="s">
        <v>701</v>
      </c>
      <c r="F14" t="s">
        <v>890</v>
      </c>
    </row>
    <row r="15" spans="1:6" x14ac:dyDescent="0.35">
      <c r="A15">
        <v>14</v>
      </c>
      <c r="B15" t="s">
        <v>891</v>
      </c>
      <c r="C15" t="s">
        <v>866</v>
      </c>
      <c r="D15">
        <v>1915</v>
      </c>
      <c r="E15" t="s">
        <v>707</v>
      </c>
      <c r="F15" t="s">
        <v>892</v>
      </c>
    </row>
    <row r="16" spans="1:6" x14ac:dyDescent="0.35">
      <c r="A16">
        <v>15</v>
      </c>
      <c r="B16" t="s">
        <v>893</v>
      </c>
      <c r="C16" t="s">
        <v>794</v>
      </c>
      <c r="D16">
        <v>1488</v>
      </c>
      <c r="E16" t="s">
        <v>698</v>
      </c>
      <c r="F16" t="s">
        <v>894</v>
      </c>
    </row>
    <row r="17" spans="1:6" x14ac:dyDescent="0.35">
      <c r="A17">
        <v>16</v>
      </c>
      <c r="B17" t="s">
        <v>895</v>
      </c>
      <c r="C17" t="s">
        <v>869</v>
      </c>
      <c r="D17">
        <v>1721</v>
      </c>
      <c r="E17" t="s">
        <v>701</v>
      </c>
      <c r="F17" t="s">
        <v>896</v>
      </c>
    </row>
    <row r="18" spans="1:6" x14ac:dyDescent="0.35">
      <c r="A18">
        <v>17</v>
      </c>
      <c r="B18" t="s">
        <v>897</v>
      </c>
      <c r="C18" t="s">
        <v>860</v>
      </c>
      <c r="D18">
        <v>1899</v>
      </c>
      <c r="E18" t="s">
        <v>698</v>
      </c>
      <c r="F18" t="s">
        <v>898</v>
      </c>
    </row>
    <row r="19" spans="1:6" x14ac:dyDescent="0.35">
      <c r="A19">
        <v>18</v>
      </c>
      <c r="B19" t="s">
        <v>899</v>
      </c>
      <c r="C19" t="s">
        <v>863</v>
      </c>
      <c r="D19">
        <v>781</v>
      </c>
      <c r="E19" t="s">
        <v>707</v>
      </c>
      <c r="F19" t="s">
        <v>900</v>
      </c>
    </row>
    <row r="20" spans="1:6" x14ac:dyDescent="0.35">
      <c r="A20">
        <v>19</v>
      </c>
      <c r="B20" t="s">
        <v>901</v>
      </c>
      <c r="C20" t="s">
        <v>885</v>
      </c>
      <c r="D20">
        <v>1234</v>
      </c>
      <c r="E20" t="s">
        <v>620</v>
      </c>
      <c r="F20" t="s">
        <v>902</v>
      </c>
    </row>
    <row r="21" spans="1:6" x14ac:dyDescent="0.35">
      <c r="A21">
        <v>20</v>
      </c>
      <c r="B21" t="s">
        <v>903</v>
      </c>
      <c r="C21" t="s">
        <v>866</v>
      </c>
      <c r="D21">
        <v>697</v>
      </c>
      <c r="E21" t="s">
        <v>698</v>
      </c>
      <c r="F21" t="s">
        <v>904</v>
      </c>
    </row>
    <row r="22" spans="1:6" x14ac:dyDescent="0.35">
      <c r="A22">
        <v>21</v>
      </c>
      <c r="B22" t="s">
        <v>905</v>
      </c>
      <c r="C22" t="s">
        <v>866</v>
      </c>
      <c r="D22">
        <v>1561</v>
      </c>
      <c r="E22" t="s">
        <v>794</v>
      </c>
      <c r="F22" t="s">
        <v>906</v>
      </c>
    </row>
    <row r="23" spans="1:6" x14ac:dyDescent="0.35">
      <c r="A23">
        <v>22</v>
      </c>
      <c r="B23" t="s">
        <v>907</v>
      </c>
      <c r="C23" t="s">
        <v>860</v>
      </c>
      <c r="D23">
        <v>1639</v>
      </c>
      <c r="E23" t="s">
        <v>699</v>
      </c>
      <c r="F23" t="s">
        <v>908</v>
      </c>
    </row>
    <row r="24" spans="1:6" x14ac:dyDescent="0.35">
      <c r="A24">
        <v>23</v>
      </c>
      <c r="B24" t="s">
        <v>909</v>
      </c>
      <c r="C24" t="s">
        <v>869</v>
      </c>
      <c r="D24">
        <v>1098</v>
      </c>
      <c r="E24" t="s">
        <v>698</v>
      </c>
      <c r="F24" t="s">
        <v>910</v>
      </c>
    </row>
    <row r="25" spans="1:6" x14ac:dyDescent="0.35">
      <c r="A25">
        <v>24</v>
      </c>
      <c r="B25" t="s">
        <v>911</v>
      </c>
      <c r="C25" t="s">
        <v>885</v>
      </c>
      <c r="D25">
        <v>535</v>
      </c>
      <c r="E25" t="s">
        <v>707</v>
      </c>
      <c r="F25" t="s">
        <v>912</v>
      </c>
    </row>
    <row r="26" spans="1:6" x14ac:dyDescent="0.35">
      <c r="A26">
        <v>25</v>
      </c>
      <c r="B26" t="s">
        <v>913</v>
      </c>
      <c r="C26" t="s">
        <v>863</v>
      </c>
      <c r="D26">
        <v>1202</v>
      </c>
      <c r="E26" t="s">
        <v>698</v>
      </c>
      <c r="F26" t="s">
        <v>914</v>
      </c>
    </row>
    <row r="27" spans="1:6" x14ac:dyDescent="0.35">
      <c r="A27">
        <v>26</v>
      </c>
      <c r="B27" t="s">
        <v>915</v>
      </c>
      <c r="C27" t="s">
        <v>866</v>
      </c>
      <c r="D27">
        <v>289</v>
      </c>
      <c r="E27" t="s">
        <v>701</v>
      </c>
      <c r="F27" t="s">
        <v>916</v>
      </c>
    </row>
    <row r="28" spans="1:6" x14ac:dyDescent="0.35">
      <c r="A28">
        <v>27</v>
      </c>
      <c r="B28" t="s">
        <v>917</v>
      </c>
      <c r="C28" t="s">
        <v>874</v>
      </c>
      <c r="D28">
        <v>548</v>
      </c>
      <c r="E28" t="s">
        <v>794</v>
      </c>
      <c r="F28" t="s">
        <v>918</v>
      </c>
    </row>
    <row r="29" spans="1:6" x14ac:dyDescent="0.35">
      <c r="A29">
        <v>28</v>
      </c>
      <c r="B29" t="s">
        <v>919</v>
      </c>
      <c r="C29" t="s">
        <v>869</v>
      </c>
      <c r="D29">
        <v>1778</v>
      </c>
      <c r="E29" t="s">
        <v>794</v>
      </c>
      <c r="F29" t="s">
        <v>920</v>
      </c>
    </row>
    <row r="30" spans="1:6" x14ac:dyDescent="0.35">
      <c r="A30">
        <v>29</v>
      </c>
      <c r="B30" t="s">
        <v>921</v>
      </c>
      <c r="C30" t="s">
        <v>866</v>
      </c>
      <c r="D30">
        <v>1252</v>
      </c>
      <c r="E30" t="s">
        <v>701</v>
      </c>
      <c r="F30" t="s">
        <v>922</v>
      </c>
    </row>
    <row r="31" spans="1:6" x14ac:dyDescent="0.35">
      <c r="A31">
        <v>30</v>
      </c>
      <c r="B31" t="s">
        <v>923</v>
      </c>
      <c r="C31" t="s">
        <v>866</v>
      </c>
      <c r="D31">
        <v>751</v>
      </c>
      <c r="E31" t="s">
        <v>698</v>
      </c>
      <c r="F31" t="s">
        <v>924</v>
      </c>
    </row>
    <row r="32" spans="1:6" x14ac:dyDescent="0.35">
      <c r="A32">
        <v>31</v>
      </c>
      <c r="B32" t="s">
        <v>925</v>
      </c>
      <c r="C32" t="s">
        <v>866</v>
      </c>
      <c r="D32">
        <v>1804</v>
      </c>
      <c r="E32" t="s">
        <v>699</v>
      </c>
      <c r="F32" t="s">
        <v>926</v>
      </c>
    </row>
    <row r="33" spans="1:6" x14ac:dyDescent="0.35">
      <c r="A33">
        <v>32</v>
      </c>
      <c r="B33" t="s">
        <v>927</v>
      </c>
      <c r="C33" t="s">
        <v>860</v>
      </c>
      <c r="D33">
        <v>1792</v>
      </c>
      <c r="E33" t="s">
        <v>707</v>
      </c>
      <c r="F33" t="s">
        <v>928</v>
      </c>
    </row>
    <row r="34" spans="1:6" x14ac:dyDescent="0.35">
      <c r="A34">
        <v>33</v>
      </c>
      <c r="B34" t="s">
        <v>929</v>
      </c>
      <c r="C34" t="s">
        <v>866</v>
      </c>
      <c r="D34">
        <v>314</v>
      </c>
      <c r="E34" t="s">
        <v>620</v>
      </c>
      <c r="F34" t="s">
        <v>930</v>
      </c>
    </row>
    <row r="35" spans="1:6" x14ac:dyDescent="0.35">
      <c r="A35">
        <v>34</v>
      </c>
      <c r="B35" t="s">
        <v>931</v>
      </c>
      <c r="C35" t="s">
        <v>860</v>
      </c>
      <c r="D35">
        <v>1335</v>
      </c>
      <c r="E35" t="s">
        <v>794</v>
      </c>
      <c r="F35" t="s">
        <v>932</v>
      </c>
    </row>
    <row r="36" spans="1:6" x14ac:dyDescent="0.35">
      <c r="A36">
        <v>35</v>
      </c>
      <c r="B36" t="s">
        <v>933</v>
      </c>
      <c r="C36" t="s">
        <v>866</v>
      </c>
      <c r="D36">
        <v>1865</v>
      </c>
      <c r="E36" t="s">
        <v>701</v>
      </c>
      <c r="F36" t="s">
        <v>934</v>
      </c>
    </row>
    <row r="37" spans="1:6" x14ac:dyDescent="0.35">
      <c r="A37">
        <v>36</v>
      </c>
      <c r="B37" t="s">
        <v>935</v>
      </c>
      <c r="C37" t="s">
        <v>863</v>
      </c>
      <c r="D37">
        <v>203</v>
      </c>
      <c r="E37" t="s">
        <v>707</v>
      </c>
      <c r="F37" t="s">
        <v>936</v>
      </c>
    </row>
    <row r="38" spans="1:6" x14ac:dyDescent="0.35">
      <c r="A38">
        <v>37</v>
      </c>
      <c r="B38" t="s">
        <v>937</v>
      </c>
      <c r="C38" t="s">
        <v>866</v>
      </c>
      <c r="D38">
        <v>1428</v>
      </c>
      <c r="E38" t="s">
        <v>829</v>
      </c>
      <c r="F38" t="s">
        <v>938</v>
      </c>
    </row>
    <row r="39" spans="1:6" x14ac:dyDescent="0.35">
      <c r="A39">
        <v>38</v>
      </c>
      <c r="B39" t="s">
        <v>939</v>
      </c>
      <c r="C39" t="s">
        <v>874</v>
      </c>
      <c r="D39">
        <v>562</v>
      </c>
      <c r="E39" t="s">
        <v>707</v>
      </c>
      <c r="F39" t="s">
        <v>940</v>
      </c>
    </row>
    <row r="40" spans="1:6" x14ac:dyDescent="0.35">
      <c r="A40">
        <v>39</v>
      </c>
      <c r="B40" t="s">
        <v>941</v>
      </c>
      <c r="C40" t="s">
        <v>885</v>
      </c>
      <c r="D40">
        <v>387</v>
      </c>
      <c r="E40" t="s">
        <v>699</v>
      </c>
      <c r="F40" t="s">
        <v>942</v>
      </c>
    </row>
    <row r="41" spans="1:6" x14ac:dyDescent="0.35">
      <c r="A41">
        <v>40</v>
      </c>
      <c r="B41" t="s">
        <v>943</v>
      </c>
      <c r="C41" t="s">
        <v>869</v>
      </c>
      <c r="D41">
        <v>1923</v>
      </c>
      <c r="E41" t="s">
        <v>698</v>
      </c>
      <c r="F41" t="s">
        <v>944</v>
      </c>
    </row>
    <row r="42" spans="1:6" x14ac:dyDescent="0.35">
      <c r="A42">
        <v>41</v>
      </c>
      <c r="B42" t="s">
        <v>945</v>
      </c>
      <c r="C42" t="s">
        <v>869</v>
      </c>
      <c r="D42">
        <v>1977</v>
      </c>
      <c r="E42" t="s">
        <v>829</v>
      </c>
      <c r="F42" t="s">
        <v>946</v>
      </c>
    </row>
    <row r="43" spans="1:6" x14ac:dyDescent="0.35">
      <c r="A43">
        <v>42</v>
      </c>
      <c r="B43" t="s">
        <v>947</v>
      </c>
      <c r="C43" t="s">
        <v>869</v>
      </c>
      <c r="D43">
        <v>1744</v>
      </c>
      <c r="E43" t="s">
        <v>699</v>
      </c>
      <c r="F43" t="s">
        <v>948</v>
      </c>
    </row>
    <row r="44" spans="1:6" x14ac:dyDescent="0.35">
      <c r="A44">
        <v>43</v>
      </c>
      <c r="B44" t="s">
        <v>949</v>
      </c>
      <c r="C44" t="s">
        <v>794</v>
      </c>
      <c r="D44">
        <v>750</v>
      </c>
      <c r="E44" t="s">
        <v>829</v>
      </c>
      <c r="F44" t="s">
        <v>950</v>
      </c>
    </row>
    <row r="45" spans="1:6" x14ac:dyDescent="0.35">
      <c r="A45">
        <v>44</v>
      </c>
      <c r="B45" t="s">
        <v>951</v>
      </c>
      <c r="C45" t="s">
        <v>863</v>
      </c>
      <c r="D45">
        <v>794</v>
      </c>
      <c r="E45" t="s">
        <v>829</v>
      </c>
      <c r="F45" t="s">
        <v>952</v>
      </c>
    </row>
    <row r="46" spans="1:6" x14ac:dyDescent="0.35">
      <c r="A46">
        <v>45</v>
      </c>
      <c r="B46" t="s">
        <v>953</v>
      </c>
      <c r="C46" t="s">
        <v>794</v>
      </c>
      <c r="D46">
        <v>722</v>
      </c>
      <c r="E46" t="s">
        <v>707</v>
      </c>
      <c r="F46" t="s">
        <v>954</v>
      </c>
    </row>
    <row r="47" spans="1:6" x14ac:dyDescent="0.35">
      <c r="A47">
        <v>46</v>
      </c>
      <c r="B47" t="s">
        <v>955</v>
      </c>
      <c r="C47" t="s">
        <v>874</v>
      </c>
      <c r="D47">
        <v>758</v>
      </c>
      <c r="E47" t="s">
        <v>698</v>
      </c>
      <c r="F47" t="s">
        <v>956</v>
      </c>
    </row>
    <row r="48" spans="1:6" x14ac:dyDescent="0.35">
      <c r="A48">
        <v>47</v>
      </c>
      <c r="B48" t="s">
        <v>957</v>
      </c>
      <c r="C48" t="s">
        <v>866</v>
      </c>
      <c r="D48">
        <v>1638</v>
      </c>
      <c r="E48" t="s">
        <v>701</v>
      </c>
      <c r="F48" t="s">
        <v>958</v>
      </c>
    </row>
    <row r="49" spans="1:6" x14ac:dyDescent="0.35">
      <c r="A49">
        <v>48</v>
      </c>
      <c r="B49" t="s">
        <v>959</v>
      </c>
      <c r="C49" t="s">
        <v>866</v>
      </c>
      <c r="D49">
        <v>433</v>
      </c>
      <c r="E49" t="s">
        <v>829</v>
      </c>
      <c r="F49" t="s">
        <v>960</v>
      </c>
    </row>
    <row r="50" spans="1:6" x14ac:dyDescent="0.35">
      <c r="A50">
        <v>49</v>
      </c>
      <c r="B50" t="s">
        <v>961</v>
      </c>
      <c r="C50" t="s">
        <v>866</v>
      </c>
      <c r="D50">
        <v>903</v>
      </c>
      <c r="E50" t="s">
        <v>620</v>
      </c>
      <c r="F50" t="s">
        <v>962</v>
      </c>
    </row>
    <row r="51" spans="1:6" x14ac:dyDescent="0.35">
      <c r="A51">
        <v>50</v>
      </c>
      <c r="B51" t="s">
        <v>963</v>
      </c>
      <c r="C51" t="s">
        <v>863</v>
      </c>
      <c r="D51">
        <v>422</v>
      </c>
      <c r="E51" t="s">
        <v>701</v>
      </c>
      <c r="F51" t="s">
        <v>964</v>
      </c>
    </row>
    <row r="52" spans="1:6" x14ac:dyDescent="0.35">
      <c r="A52">
        <v>51</v>
      </c>
      <c r="B52" t="s">
        <v>965</v>
      </c>
      <c r="C52" t="s">
        <v>860</v>
      </c>
      <c r="D52">
        <v>1084</v>
      </c>
      <c r="E52" t="s">
        <v>699</v>
      </c>
      <c r="F52" t="s">
        <v>966</v>
      </c>
    </row>
    <row r="53" spans="1:6" x14ac:dyDescent="0.35">
      <c r="A53">
        <v>52</v>
      </c>
      <c r="B53" t="s">
        <v>967</v>
      </c>
      <c r="C53" t="s">
        <v>794</v>
      </c>
      <c r="D53">
        <v>236</v>
      </c>
      <c r="E53" t="s">
        <v>620</v>
      </c>
      <c r="F53" t="s">
        <v>968</v>
      </c>
    </row>
    <row r="54" spans="1:6" x14ac:dyDescent="0.35">
      <c r="A54">
        <v>53</v>
      </c>
      <c r="B54" t="s">
        <v>969</v>
      </c>
      <c r="C54" t="s">
        <v>869</v>
      </c>
      <c r="D54">
        <v>1672</v>
      </c>
      <c r="E54" t="s">
        <v>794</v>
      </c>
      <c r="F54" t="s">
        <v>970</v>
      </c>
    </row>
    <row r="55" spans="1:6" x14ac:dyDescent="0.35">
      <c r="A55">
        <v>54</v>
      </c>
      <c r="B55" t="s">
        <v>971</v>
      </c>
      <c r="C55" t="s">
        <v>874</v>
      </c>
      <c r="D55">
        <v>1236</v>
      </c>
      <c r="E55" t="s">
        <v>698</v>
      </c>
      <c r="F55" t="s">
        <v>972</v>
      </c>
    </row>
    <row r="56" spans="1:6" x14ac:dyDescent="0.35">
      <c r="A56">
        <v>55</v>
      </c>
      <c r="B56" t="s">
        <v>973</v>
      </c>
      <c r="C56" t="s">
        <v>860</v>
      </c>
      <c r="D56">
        <v>1904</v>
      </c>
      <c r="E56" t="s">
        <v>794</v>
      </c>
      <c r="F56" t="s">
        <v>974</v>
      </c>
    </row>
    <row r="57" spans="1:6" x14ac:dyDescent="0.35">
      <c r="A57">
        <v>56</v>
      </c>
      <c r="B57" t="s">
        <v>905</v>
      </c>
      <c r="C57" t="s">
        <v>794</v>
      </c>
      <c r="D57">
        <v>1272</v>
      </c>
      <c r="E57" t="s">
        <v>698</v>
      </c>
      <c r="F57" t="s">
        <v>975</v>
      </c>
    </row>
    <row r="58" spans="1:6" x14ac:dyDescent="0.35">
      <c r="A58">
        <v>57</v>
      </c>
      <c r="B58" t="s">
        <v>976</v>
      </c>
      <c r="C58" t="s">
        <v>866</v>
      </c>
      <c r="D58">
        <v>1582</v>
      </c>
      <c r="E58" t="s">
        <v>707</v>
      </c>
      <c r="F58" t="s">
        <v>977</v>
      </c>
    </row>
    <row r="59" spans="1:6" x14ac:dyDescent="0.35">
      <c r="A59">
        <v>58</v>
      </c>
      <c r="B59" t="s">
        <v>978</v>
      </c>
      <c r="C59" t="s">
        <v>874</v>
      </c>
      <c r="D59">
        <v>1492</v>
      </c>
      <c r="E59" t="s">
        <v>620</v>
      </c>
      <c r="F59" t="s">
        <v>979</v>
      </c>
    </row>
    <row r="60" spans="1:6" x14ac:dyDescent="0.35">
      <c r="A60">
        <v>59</v>
      </c>
      <c r="B60" t="s">
        <v>980</v>
      </c>
      <c r="C60" t="s">
        <v>874</v>
      </c>
      <c r="D60">
        <v>811</v>
      </c>
      <c r="E60" t="s">
        <v>794</v>
      </c>
      <c r="F60" t="s">
        <v>981</v>
      </c>
    </row>
    <row r="61" spans="1:6" x14ac:dyDescent="0.35">
      <c r="A61">
        <v>60</v>
      </c>
      <c r="B61" t="s">
        <v>982</v>
      </c>
      <c r="C61" t="s">
        <v>869</v>
      </c>
      <c r="D61">
        <v>827</v>
      </c>
      <c r="E61" t="s">
        <v>829</v>
      </c>
      <c r="F61" t="s">
        <v>983</v>
      </c>
    </row>
    <row r="62" spans="1:6" x14ac:dyDescent="0.35">
      <c r="A62">
        <v>61</v>
      </c>
      <c r="B62" t="s">
        <v>984</v>
      </c>
      <c r="C62" t="s">
        <v>863</v>
      </c>
      <c r="D62">
        <v>810</v>
      </c>
      <c r="E62" t="s">
        <v>698</v>
      </c>
      <c r="F62" t="s">
        <v>985</v>
      </c>
    </row>
    <row r="63" spans="1:6" x14ac:dyDescent="0.35">
      <c r="A63">
        <v>62</v>
      </c>
      <c r="B63" t="s">
        <v>986</v>
      </c>
      <c r="C63" t="s">
        <v>866</v>
      </c>
      <c r="D63">
        <v>1356</v>
      </c>
      <c r="E63" t="s">
        <v>701</v>
      </c>
      <c r="F63" t="s">
        <v>987</v>
      </c>
    </row>
    <row r="64" spans="1:6" x14ac:dyDescent="0.35">
      <c r="A64">
        <v>63</v>
      </c>
      <c r="B64" t="s">
        <v>988</v>
      </c>
      <c r="C64" t="s">
        <v>869</v>
      </c>
      <c r="D64">
        <v>1348</v>
      </c>
      <c r="E64" t="s">
        <v>699</v>
      </c>
      <c r="F64" t="s">
        <v>989</v>
      </c>
    </row>
    <row r="65" spans="1:6" x14ac:dyDescent="0.35">
      <c r="A65">
        <v>64</v>
      </c>
      <c r="B65" t="s">
        <v>990</v>
      </c>
      <c r="C65" t="s">
        <v>860</v>
      </c>
      <c r="D65">
        <v>1878</v>
      </c>
      <c r="E65" t="s">
        <v>794</v>
      </c>
      <c r="F65" t="s">
        <v>991</v>
      </c>
    </row>
    <row r="66" spans="1:6" x14ac:dyDescent="0.35">
      <c r="A66">
        <v>65</v>
      </c>
      <c r="B66" t="s">
        <v>992</v>
      </c>
      <c r="C66" t="s">
        <v>794</v>
      </c>
      <c r="D66">
        <v>1895</v>
      </c>
      <c r="E66" t="s">
        <v>699</v>
      </c>
      <c r="F66" t="s">
        <v>993</v>
      </c>
    </row>
    <row r="67" spans="1:6" x14ac:dyDescent="0.35">
      <c r="A67">
        <v>66</v>
      </c>
      <c r="B67" t="s">
        <v>994</v>
      </c>
      <c r="C67" t="s">
        <v>866</v>
      </c>
      <c r="D67">
        <v>610</v>
      </c>
      <c r="E67" t="s">
        <v>701</v>
      </c>
      <c r="F67" t="s">
        <v>995</v>
      </c>
    </row>
    <row r="68" spans="1:6" x14ac:dyDescent="0.35">
      <c r="A68">
        <v>67</v>
      </c>
      <c r="B68" t="s">
        <v>996</v>
      </c>
      <c r="C68" t="s">
        <v>794</v>
      </c>
      <c r="D68">
        <v>1374</v>
      </c>
      <c r="E68" t="s">
        <v>698</v>
      </c>
      <c r="F68" t="s">
        <v>997</v>
      </c>
    </row>
    <row r="69" spans="1:6" x14ac:dyDescent="0.35">
      <c r="A69">
        <v>68</v>
      </c>
      <c r="B69" t="s">
        <v>998</v>
      </c>
      <c r="C69" t="s">
        <v>860</v>
      </c>
      <c r="D69">
        <v>597</v>
      </c>
      <c r="E69" t="s">
        <v>620</v>
      </c>
      <c r="F69" t="s">
        <v>999</v>
      </c>
    </row>
    <row r="70" spans="1:6" x14ac:dyDescent="0.35">
      <c r="A70">
        <v>69</v>
      </c>
      <c r="B70" t="s">
        <v>1000</v>
      </c>
      <c r="C70" t="s">
        <v>874</v>
      </c>
      <c r="D70">
        <v>998</v>
      </c>
      <c r="E70" t="s">
        <v>701</v>
      </c>
      <c r="F70" t="s">
        <v>1001</v>
      </c>
    </row>
    <row r="71" spans="1:6" x14ac:dyDescent="0.3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4D58B-6B53-4A37-813C-3BBD17C05A43}">
  <dimension ref="A1:H53"/>
  <sheetViews>
    <sheetView workbookViewId="0">
      <selection activeCell="G17" sqref="G17:H19"/>
    </sheetView>
  </sheetViews>
  <sheetFormatPr defaultRowHeight="14.5" x14ac:dyDescent="0.35"/>
  <cols>
    <col min="1" max="1" width="14.7265625" bestFit="1" customWidth="1"/>
    <col min="2" max="4" width="14.36328125" bestFit="1" customWidth="1"/>
    <col min="5" max="5" width="26.7265625" bestFit="1" customWidth="1"/>
    <col min="6" max="6" width="25.6328125" bestFit="1" customWidth="1"/>
    <col min="7" max="7" width="16.36328125" bestFit="1" customWidth="1"/>
    <col min="8" max="8" width="14.36328125" bestFit="1" customWidth="1"/>
    <col min="9" max="15" width="1.81640625" bestFit="1" customWidth="1"/>
    <col min="16" max="105" width="2.81640625" bestFit="1" customWidth="1"/>
    <col min="106" max="1005" width="3.81640625" bestFit="1" customWidth="1"/>
    <col min="1006" max="1006" width="4.81640625" bestFit="1" customWidth="1"/>
    <col min="1007" max="1007" width="10.7265625" bestFit="1" customWidth="1"/>
  </cols>
  <sheetData>
    <row r="1" spans="1:7" x14ac:dyDescent="0.35">
      <c r="A1" s="4" t="s">
        <v>1003</v>
      </c>
      <c r="B1" t="s">
        <v>1014</v>
      </c>
      <c r="D1" t="s">
        <v>1014</v>
      </c>
      <c r="E1" t="s">
        <v>1017</v>
      </c>
      <c r="F1" t="s">
        <v>1015</v>
      </c>
      <c r="G1" t="s">
        <v>1016</v>
      </c>
    </row>
    <row r="2" spans="1:7" x14ac:dyDescent="0.35">
      <c r="A2" s="5" t="s">
        <v>842</v>
      </c>
      <c r="B2" s="6">
        <v>95468</v>
      </c>
      <c r="D2" s="6">
        <v>3520984</v>
      </c>
      <c r="E2" s="6">
        <v>3520.9839999999999</v>
      </c>
      <c r="F2" s="7">
        <v>5.53</v>
      </c>
      <c r="G2" s="7">
        <v>1000</v>
      </c>
    </row>
    <row r="3" spans="1:7" x14ac:dyDescent="0.35">
      <c r="A3" s="5" t="s">
        <v>621</v>
      </c>
      <c r="B3" s="6">
        <v>704509</v>
      </c>
    </row>
    <row r="4" spans="1:7" x14ac:dyDescent="0.35">
      <c r="A4" s="5" t="s">
        <v>747</v>
      </c>
      <c r="B4" s="6">
        <v>511823</v>
      </c>
      <c r="D4" s="4" t="s">
        <v>1003</v>
      </c>
      <c r="E4" t="s">
        <v>1014</v>
      </c>
    </row>
    <row r="5" spans="1:7" x14ac:dyDescent="0.35">
      <c r="A5" s="5" t="s">
        <v>837</v>
      </c>
      <c r="B5" s="6">
        <v>140393</v>
      </c>
      <c r="D5" s="5" t="s">
        <v>891</v>
      </c>
      <c r="E5" s="6">
        <v>97665</v>
      </c>
    </row>
    <row r="6" spans="1:7" x14ac:dyDescent="0.35">
      <c r="A6" s="5" t="s">
        <v>840</v>
      </c>
      <c r="B6" s="6">
        <v>150346</v>
      </c>
      <c r="D6" s="5" t="s">
        <v>973</v>
      </c>
      <c r="E6" s="6">
        <v>106624</v>
      </c>
    </row>
    <row r="7" spans="1:7" x14ac:dyDescent="0.35">
      <c r="A7" s="5" t="s">
        <v>841</v>
      </c>
      <c r="B7" s="6">
        <v>157913</v>
      </c>
      <c r="D7" s="5" t="s">
        <v>957</v>
      </c>
      <c r="E7" s="6">
        <v>101556</v>
      </c>
    </row>
    <row r="8" spans="1:7" x14ac:dyDescent="0.35">
      <c r="A8" s="5" t="s">
        <v>839</v>
      </c>
      <c r="B8" s="6">
        <v>135826</v>
      </c>
      <c r="D8" s="5" t="s">
        <v>859</v>
      </c>
      <c r="E8" s="6">
        <v>121905</v>
      </c>
    </row>
    <row r="9" spans="1:7" x14ac:dyDescent="0.35">
      <c r="A9" s="5" t="s">
        <v>795</v>
      </c>
      <c r="B9" s="6">
        <v>737389</v>
      </c>
      <c r="D9" s="5" t="s">
        <v>905</v>
      </c>
      <c r="E9" s="6">
        <v>114476</v>
      </c>
    </row>
    <row r="10" spans="1:7" x14ac:dyDescent="0.35">
      <c r="A10" s="5" t="s">
        <v>843</v>
      </c>
      <c r="B10" s="6">
        <v>136938</v>
      </c>
      <c r="D10" s="5" t="s">
        <v>1004</v>
      </c>
      <c r="E10" s="6">
        <v>542226</v>
      </c>
    </row>
    <row r="11" spans="1:7" x14ac:dyDescent="0.35">
      <c r="A11" s="5" t="s">
        <v>845</v>
      </c>
      <c r="B11" s="6">
        <v>151619</v>
      </c>
    </row>
    <row r="12" spans="1:7" x14ac:dyDescent="0.35">
      <c r="A12" s="5" t="s">
        <v>822</v>
      </c>
      <c r="B12" s="6">
        <v>449169</v>
      </c>
      <c r="F12">
        <f>CORREL(Orders[Quantity],Orders[diff_order_deliver])</f>
        <v>3.4781737193018245E-3</v>
      </c>
    </row>
    <row r="13" spans="1:7" x14ac:dyDescent="0.35">
      <c r="A13" s="5" t="s">
        <v>836</v>
      </c>
      <c r="B13" s="6">
        <v>149591</v>
      </c>
    </row>
    <row r="14" spans="1:7" x14ac:dyDescent="0.35">
      <c r="A14" s="5" t="s">
        <v>1004</v>
      </c>
      <c r="B14" s="6">
        <v>3520984</v>
      </c>
    </row>
    <row r="17" spans="1:8" x14ac:dyDescent="0.35">
      <c r="A17" s="4" t="s">
        <v>1003</v>
      </c>
      <c r="B17" t="s">
        <v>1014</v>
      </c>
      <c r="D17" s="4" t="s">
        <v>1003</v>
      </c>
      <c r="E17" t="s">
        <v>1016</v>
      </c>
      <c r="G17" s="4" t="s">
        <v>1003</v>
      </c>
      <c r="H17" t="s">
        <v>1014</v>
      </c>
    </row>
    <row r="18" spans="1:8" x14ac:dyDescent="0.35">
      <c r="A18" s="5" t="s">
        <v>874</v>
      </c>
      <c r="B18" s="6">
        <v>329862</v>
      </c>
      <c r="D18" s="5" t="s">
        <v>218</v>
      </c>
      <c r="E18" s="7">
        <v>18</v>
      </c>
      <c r="G18" s="5" t="s">
        <v>699</v>
      </c>
      <c r="H18" s="6">
        <v>586176</v>
      </c>
    </row>
    <row r="19" spans="1:8" x14ac:dyDescent="0.35">
      <c r="A19" s="5" t="s">
        <v>866</v>
      </c>
      <c r="B19" s="6">
        <v>1005645</v>
      </c>
      <c r="D19" s="5" t="s">
        <v>152</v>
      </c>
      <c r="E19" s="7">
        <v>21</v>
      </c>
      <c r="G19" s="5" t="s">
        <v>698</v>
      </c>
      <c r="H19" s="6">
        <v>674634</v>
      </c>
    </row>
    <row r="20" spans="1:8" x14ac:dyDescent="0.35">
      <c r="A20" s="5" t="s">
        <v>885</v>
      </c>
      <c r="B20" s="6">
        <v>201151</v>
      </c>
      <c r="D20" s="5" t="s">
        <v>32</v>
      </c>
      <c r="E20" s="7">
        <v>18</v>
      </c>
      <c r="G20" s="5" t="s">
        <v>707</v>
      </c>
      <c r="H20" s="6">
        <v>408194</v>
      </c>
    </row>
    <row r="21" spans="1:8" x14ac:dyDescent="0.35">
      <c r="A21" s="5" t="s">
        <v>863</v>
      </c>
      <c r="B21" s="6">
        <v>212281</v>
      </c>
      <c r="D21" s="5" t="s">
        <v>324</v>
      </c>
      <c r="E21" s="7">
        <v>28</v>
      </c>
      <c r="G21" s="5" t="s">
        <v>829</v>
      </c>
      <c r="H21" s="6">
        <v>313783</v>
      </c>
    </row>
    <row r="22" spans="1:8" x14ac:dyDescent="0.35">
      <c r="A22" s="5" t="s">
        <v>794</v>
      </c>
      <c r="B22" s="6">
        <v>297372</v>
      </c>
      <c r="D22" s="5" t="s">
        <v>230</v>
      </c>
      <c r="E22" s="7">
        <v>21</v>
      </c>
      <c r="G22" s="5" t="s">
        <v>701</v>
      </c>
      <c r="H22" s="6">
        <v>574682</v>
      </c>
    </row>
    <row r="23" spans="1:8" x14ac:dyDescent="0.35">
      <c r="A23" s="5" t="s">
        <v>860</v>
      </c>
      <c r="B23" s="6">
        <v>740831</v>
      </c>
      <c r="D23" s="5" t="s">
        <v>301</v>
      </c>
      <c r="E23" s="7">
        <v>20</v>
      </c>
      <c r="G23" s="5" t="s">
        <v>794</v>
      </c>
      <c r="H23" s="6">
        <v>631585</v>
      </c>
    </row>
    <row r="24" spans="1:8" x14ac:dyDescent="0.35">
      <c r="A24" s="5" t="s">
        <v>869</v>
      </c>
      <c r="B24" s="6">
        <v>733842</v>
      </c>
      <c r="D24" s="5" t="s">
        <v>188</v>
      </c>
      <c r="E24" s="7">
        <v>24</v>
      </c>
      <c r="G24" s="5" t="s">
        <v>620</v>
      </c>
      <c r="H24" s="6">
        <v>331930</v>
      </c>
    </row>
    <row r="25" spans="1:8" x14ac:dyDescent="0.35">
      <c r="A25" s="5" t="s">
        <v>1004</v>
      </c>
      <c r="B25" s="6">
        <v>3520984</v>
      </c>
      <c r="D25" s="5" t="s">
        <v>307</v>
      </c>
      <c r="E25" s="7">
        <v>29</v>
      </c>
      <c r="G25" s="5" t="s">
        <v>1004</v>
      </c>
      <c r="H25" s="6">
        <v>3520984</v>
      </c>
    </row>
    <row r="26" spans="1:8" x14ac:dyDescent="0.35">
      <c r="D26" s="5" t="s">
        <v>158</v>
      </c>
      <c r="E26" s="7">
        <v>27</v>
      </c>
    </row>
    <row r="27" spans="1:8" x14ac:dyDescent="0.35">
      <c r="D27" s="5" t="s">
        <v>397</v>
      </c>
      <c r="E27" s="7">
        <v>19</v>
      </c>
    </row>
    <row r="28" spans="1:8" x14ac:dyDescent="0.35">
      <c r="A28" s="4" t="s">
        <v>1003</v>
      </c>
      <c r="B28" t="s">
        <v>1014</v>
      </c>
      <c r="D28" s="5" t="s">
        <v>1004</v>
      </c>
      <c r="E28" s="7">
        <v>225</v>
      </c>
    </row>
    <row r="29" spans="1:8" x14ac:dyDescent="0.35">
      <c r="A29" s="5">
        <v>0</v>
      </c>
      <c r="B29" s="6">
        <v>99400</v>
      </c>
    </row>
    <row r="30" spans="1:8" x14ac:dyDescent="0.35">
      <c r="A30" s="5">
        <v>1</v>
      </c>
      <c r="B30" s="6">
        <v>129309</v>
      </c>
    </row>
    <row r="31" spans="1:8" x14ac:dyDescent="0.35">
      <c r="A31" s="5">
        <v>2</v>
      </c>
      <c r="B31" s="6">
        <v>152940</v>
      </c>
    </row>
    <row r="32" spans="1:8" x14ac:dyDescent="0.35">
      <c r="A32" s="5">
        <v>3</v>
      </c>
      <c r="B32" s="6">
        <v>146810</v>
      </c>
    </row>
    <row r="33" spans="1:2" x14ac:dyDescent="0.35">
      <c r="A33" s="5">
        <v>4</v>
      </c>
      <c r="B33" s="6">
        <v>114700</v>
      </c>
    </row>
    <row r="34" spans="1:2" x14ac:dyDescent="0.35">
      <c r="A34" s="5">
        <v>5</v>
      </c>
      <c r="B34" s="6">
        <v>156198</v>
      </c>
    </row>
    <row r="35" spans="1:2" x14ac:dyDescent="0.35">
      <c r="A35" s="5">
        <v>6</v>
      </c>
      <c r="B35" s="6">
        <v>177211</v>
      </c>
    </row>
    <row r="36" spans="1:2" x14ac:dyDescent="0.35">
      <c r="A36" s="5">
        <v>7</v>
      </c>
      <c r="B36" s="6">
        <v>147749</v>
      </c>
    </row>
    <row r="37" spans="1:2" x14ac:dyDescent="0.35">
      <c r="A37" s="5">
        <v>8</v>
      </c>
      <c r="B37" s="6">
        <v>133617</v>
      </c>
    </row>
    <row r="38" spans="1:2" x14ac:dyDescent="0.35">
      <c r="A38" s="5">
        <v>9</v>
      </c>
      <c r="B38" s="6">
        <v>153678</v>
      </c>
    </row>
    <row r="39" spans="1:2" x14ac:dyDescent="0.35">
      <c r="A39" s="5">
        <v>10</v>
      </c>
      <c r="B39" s="6">
        <v>94985</v>
      </c>
    </row>
    <row r="40" spans="1:2" x14ac:dyDescent="0.35">
      <c r="A40" s="5">
        <v>11</v>
      </c>
      <c r="B40" s="6">
        <v>130287</v>
      </c>
    </row>
    <row r="41" spans="1:2" x14ac:dyDescent="0.35">
      <c r="A41" s="5">
        <v>12</v>
      </c>
      <c r="B41" s="6">
        <v>162394</v>
      </c>
    </row>
    <row r="42" spans="1:2" x14ac:dyDescent="0.35">
      <c r="A42" s="5">
        <v>13</v>
      </c>
      <c r="B42" s="6">
        <v>152340</v>
      </c>
    </row>
    <row r="43" spans="1:2" x14ac:dyDescent="0.35">
      <c r="A43" s="5">
        <v>14</v>
      </c>
      <c r="B43" s="6">
        <v>126406</v>
      </c>
    </row>
    <row r="44" spans="1:2" x14ac:dyDescent="0.35">
      <c r="A44" s="5">
        <v>15</v>
      </c>
      <c r="B44" s="6">
        <v>163586</v>
      </c>
    </row>
    <row r="45" spans="1:2" x14ac:dyDescent="0.35">
      <c r="A45" s="5">
        <v>16</v>
      </c>
      <c r="B45" s="6">
        <v>128797</v>
      </c>
    </row>
    <row r="46" spans="1:2" x14ac:dyDescent="0.35">
      <c r="A46" s="5">
        <v>17</v>
      </c>
      <c r="B46" s="6">
        <v>155373</v>
      </c>
    </row>
    <row r="47" spans="1:2" x14ac:dyDescent="0.35">
      <c r="A47" s="5">
        <v>18</v>
      </c>
      <c r="B47" s="6">
        <v>173118</v>
      </c>
    </row>
    <row r="48" spans="1:2" x14ac:dyDescent="0.35">
      <c r="A48" s="5">
        <v>19</v>
      </c>
      <c r="B48" s="6">
        <v>185771</v>
      </c>
    </row>
    <row r="49" spans="1:2" x14ac:dyDescent="0.35">
      <c r="A49" s="5">
        <v>20</v>
      </c>
      <c r="B49" s="6">
        <v>186426</v>
      </c>
    </row>
    <row r="50" spans="1:2" x14ac:dyDescent="0.35">
      <c r="A50" s="5">
        <v>21</v>
      </c>
      <c r="B50" s="6">
        <v>155466</v>
      </c>
    </row>
    <row r="51" spans="1:2" x14ac:dyDescent="0.35">
      <c r="A51" s="5">
        <v>22</v>
      </c>
      <c r="B51" s="6">
        <v>125912</v>
      </c>
    </row>
    <row r="52" spans="1:2" x14ac:dyDescent="0.35">
      <c r="A52" s="5">
        <v>23</v>
      </c>
      <c r="B52" s="6">
        <v>168511</v>
      </c>
    </row>
    <row r="53" spans="1:2" x14ac:dyDescent="0.35">
      <c r="A53" s="5" t="s">
        <v>1004</v>
      </c>
      <c r="B53"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6F119-1EEF-420D-B7D2-4BFA78D7EA45}">
  <dimension ref="G2"/>
  <sheetViews>
    <sheetView tabSelected="1" zoomScale="79" workbookViewId="0">
      <selection activeCell="Y1" sqref="Y1"/>
    </sheetView>
  </sheetViews>
  <sheetFormatPr defaultRowHeight="14.5" x14ac:dyDescent="0.35"/>
  <sheetData>
    <row r="2" spans="7:7" x14ac:dyDescent="0.35">
      <c r="G2"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E66D76E-62E3-4B8A-ADB6-0771ADD2154E}">
  <ds:schemaRefs/>
</ds:datastoreItem>
</file>

<file path=customXml/itemProps2.xml><?xml version="1.0" encoding="utf-8"?>
<ds:datastoreItem xmlns:ds="http://schemas.openxmlformats.org/officeDocument/2006/customXml" ds:itemID="{8C6BF3DA-72FF-4A46-8183-46127D15CBC6}">
  <ds:schemaRefs/>
</ds:datastoreItem>
</file>

<file path=customXml/itemProps3.xml><?xml version="1.0" encoding="utf-8"?>
<ds:datastoreItem xmlns:ds="http://schemas.openxmlformats.org/officeDocument/2006/customXml" ds:itemID="{EFEFE35D-CB31-4438-9036-E3E99D551E53}">
  <ds:schemaRefs>
    <ds:schemaRef ds:uri="http://schemas.microsoft.com/DataMashup"/>
  </ds:schemaRefs>
</ds:datastoreItem>
</file>

<file path=customXml/itemProps4.xml><?xml version="1.0" encoding="utf-8"?>
<ds:datastoreItem xmlns:ds="http://schemas.openxmlformats.org/officeDocument/2006/customXml" ds:itemID="{C5B9DD77-596C-4698-8867-1BD8408B3ED2}">
  <ds:schemaRefs/>
</ds:datastoreItem>
</file>

<file path=customXml/itemProps5.xml><?xml version="1.0" encoding="utf-8"?>
<ds:datastoreItem xmlns:ds="http://schemas.openxmlformats.org/officeDocument/2006/customXml" ds:itemID="{85C6662D-9E72-41F0-8BC9-2F7437D9B701}">
  <ds:schemaRefs/>
</ds:datastoreItem>
</file>

<file path=customXml/itemProps6.xml><?xml version="1.0" encoding="utf-8"?>
<ds:datastoreItem xmlns:ds="http://schemas.openxmlformats.org/officeDocument/2006/customXml" ds:itemID="{E6833406-B5CD-47AF-83E9-37D301510809}">
  <ds:schemaRefs/>
</ds:datastoreItem>
</file>

<file path=customXml/itemProps7.xml><?xml version="1.0" encoding="utf-8"?>
<ds:datastoreItem xmlns:ds="http://schemas.openxmlformats.org/officeDocument/2006/customXml" ds:itemID="{A9FC8F80-B0D2-4557-9BD4-EF73879CD8E9}">
  <ds:schemaRefs/>
</ds:datastoreItem>
</file>

<file path=customXml/itemProps8.xml><?xml version="1.0" encoding="utf-8"?>
<ds:datastoreItem xmlns:ds="http://schemas.openxmlformats.org/officeDocument/2006/customXml" ds:itemID="{0D8E7B47-6A53-487F-ADE2-82C832160411}">
  <ds:schemaRefs/>
</ds:datastoreItem>
</file>

<file path=customXml/itemProps9.xml><?xml version="1.0" encoding="utf-8"?>
<ds:datastoreItem xmlns:ds="http://schemas.openxmlformats.org/officeDocument/2006/customXml" ds:itemID="{8603C0EC-2F74-4BB1-AA61-C7E1643B475D}">
  <ds:schemaRefs/>
</ds:datastoreItem>
</file>

<file path=customXml/itemProps10.xml><?xml version="1.0" encoding="utf-8"?>
<ds:datastoreItem xmlns:ds="http://schemas.openxmlformats.org/officeDocument/2006/customXml" ds:itemID="{5FB06687-8AC8-4FED-82B8-9EC7F590434D}">
  <ds:schemaRefs/>
</ds:datastoreItem>
</file>

<file path=customXml/itemProps11.xml><?xml version="1.0" encoding="utf-8"?>
<ds:datastoreItem xmlns:ds="http://schemas.openxmlformats.org/officeDocument/2006/customXml" ds:itemID="{75EEE6DF-C914-4289-B902-14A4E3C8B164}">
  <ds:schemaRefs/>
</ds:datastoreItem>
</file>

<file path=customXml/itemProps12.xml><?xml version="1.0" encoding="utf-8"?>
<ds:datastoreItem xmlns:ds="http://schemas.openxmlformats.org/officeDocument/2006/customXml" ds:itemID="{86D520ED-200C-46A1-9A18-6783F67E1E66}">
  <ds:schemaRefs/>
</ds:datastoreItem>
</file>

<file path=customXml/itemProps13.xml><?xml version="1.0" encoding="utf-8"?>
<ds:datastoreItem xmlns:ds="http://schemas.openxmlformats.org/officeDocument/2006/customXml" ds:itemID="{725C2900-F346-4813-BB93-CBB037F15212}">
  <ds:schemaRefs/>
</ds:datastoreItem>
</file>

<file path=customXml/itemProps14.xml><?xml version="1.0" encoding="utf-8"?>
<ds:datastoreItem xmlns:ds="http://schemas.openxmlformats.org/officeDocument/2006/customXml" ds:itemID="{1C1D8399-C6D9-4BE6-849C-2A2453848C98}">
  <ds:schemaRefs/>
</ds:datastoreItem>
</file>

<file path=customXml/itemProps15.xml><?xml version="1.0" encoding="utf-8"?>
<ds:datastoreItem xmlns:ds="http://schemas.openxmlformats.org/officeDocument/2006/customXml" ds:itemID="{9F3048DC-1385-4410-B5CA-1DFFA659FD91}">
  <ds:schemaRefs/>
</ds:datastoreItem>
</file>

<file path=customXml/itemProps16.xml><?xml version="1.0" encoding="utf-8"?>
<ds:datastoreItem xmlns:ds="http://schemas.openxmlformats.org/officeDocument/2006/customXml" ds:itemID="{D9E4A07F-11FE-44C5-B0F0-15E63CB26138}">
  <ds:schemaRefs/>
</ds:datastoreItem>
</file>

<file path=customXml/itemProps17.xml><?xml version="1.0" encoding="utf-8"?>
<ds:datastoreItem xmlns:ds="http://schemas.openxmlformats.org/officeDocument/2006/customXml" ds:itemID="{22D58A78-2FF3-48D1-B9A3-E10685E5ADD7}">
  <ds:schemaRefs/>
</ds:datastoreItem>
</file>

<file path=customXml/itemProps18.xml><?xml version="1.0" encoding="utf-8"?>
<ds:datastoreItem xmlns:ds="http://schemas.openxmlformats.org/officeDocument/2006/customXml" ds:itemID="{4A55C266-B6D7-4DEC-A4B4-3F1ABFB9299B}">
  <ds:schemaRefs/>
</ds:datastoreItem>
</file>

<file path=customXml/itemProps19.xml><?xml version="1.0" encoding="utf-8"?>
<ds:datastoreItem xmlns:ds="http://schemas.openxmlformats.org/officeDocument/2006/customXml" ds:itemID="{E016D74A-56F8-4EC4-BC2E-6D6E51F28B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2026-01-27T09:01:59Z</dcterms:created>
  <dcterms:modified xsi:type="dcterms:W3CDTF">2026-01-27T15:13:40Z</dcterms:modified>
</cp:coreProperties>
</file>